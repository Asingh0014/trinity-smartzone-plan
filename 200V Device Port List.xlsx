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 name="Old VLAN ports 10 Oct" sheetId="2" state="visible" r:id="rId4"/>
    <sheet name="200V Devices" sheetId="3" state="visible" r:id="rId5"/>
    <sheet name="Switches" sheetId="4" state="visible" r:id="rId6"/>
    <sheet name="Port clean-up 26 Oct" sheetId="5" state="visible" r:id="rId7"/>
    <sheet name="Ports without device" sheetId="6" state="visible" r:id="rId8"/>
    <sheet name="Not found" sheetId="7" state="visible" r:id="rId9"/>
    <sheet name="Summary" sheetId="8" state="visible" r:id="rId10"/>
  </sheets>
  <definedNames>
    <definedName function="false" hidden="true" localSheetId="2" name="_xlnm._FilterDatabase" vbProcedure="false">'200V Devices'!$A$1:$J$393</definedName>
    <definedName function="false" hidden="true" localSheetId="6" name="_xlnm._FilterDatabase" vbProcedure="false">'Not found'!$A$1:$G$7</definedName>
    <definedName function="false" hidden="true" localSheetId="1" name="_xlnm._FilterDatabase" vbProcedure="false">'Old VLAN ports 10 Oct'!$A$3:$J$240</definedName>
    <definedName function="false" hidden="true" localSheetId="4" name="_xlnm._FilterDatabase" vbProcedure="false">'Port clean-up 26 Oct'!$A$3:$I$270</definedName>
    <definedName function="false" hidden="true" localSheetId="5" name="_xlnm._FilterDatabase" vbProcedure="false">'Ports without device'!$A$1:$H$362</definedName>
    <definedName function="false" hidden="true" localSheetId="3" name="_xlnm._FilterDatabase" vbProcedure="false">Switches!$A$1:$I$10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<sst xmlns="http://schemas.openxmlformats.org/spreadsheetml/2006/main" count="9303" uniqueCount="1408">
  <si>
    <t xml:space="preserve">200V migration: items for review</t>
  </si>
  <si>
    <t xml:space="preserve">Set a Decision for each item and add comments. Item details are on the other tabs.</t>
  </si>
  <si>
    <t xml:space="preserve">#</t>
  </si>
  <si>
    <t xml:space="preserve">Section</t>
  </si>
  <si>
    <t xml:space="preserve">Switch</t>
  </si>
  <si>
    <t xml:space="preserve">Port</t>
  </si>
  <si>
    <t xml:space="preserve">Item</t>
  </si>
  <si>
    <t xml:space="preserve">Evidence</t>
  </si>
  <si>
    <t xml:space="preserve">Proposed action</t>
  </si>
  <si>
    <t xml:space="preserve">Decision</t>
  </si>
  <si>
    <t xml:space="preserve">Comments</t>
  </si>
  <si>
    <t xml:space="preserve">1. Device list: ports filled in by script</t>
  </si>
  <si>
    <t xml:space="preserve">1</t>
  </si>
  <si>
    <t xml:space="preserve">switch-200V-LT2-1</t>
  </si>
  <si>
    <t xml:space="preserve">1/1/6</t>
  </si>
  <si>
    <t xml:space="preserve">AV: PDU (master row 1068)</t>
  </si>
  <si>
    <t xml:space="preserve">Master list lookup failed (N/A). MAC B8-80-4F-28-58-24 found on this port in the 200V tab (1230 (200V_av))</t>
  </si>
  <si>
    <t xml:space="preserve">Accept port; move 1230 (200V_av) -&gt; 2700 (VL-av-01)</t>
  </si>
  <si>
    <t xml:space="preserve">Approve</t>
  </si>
  <si>
    <t xml:space="preserve">Moved to 2700 in the 9 Oct cutover</t>
  </si>
  <si>
    <t xml:space="preserve">1/1/7</t>
  </si>
  <si>
    <t xml:space="preserve">AV: Recorder (master row 1215)</t>
  </si>
  <si>
    <t xml:space="preserve">Master list lookup failed (N/A). MAC 00-1C-08-00-6C-7C found on this port in the 200V tab (1230 (200V_av))</t>
  </si>
  <si>
    <t xml:space="preserve">1/1/8</t>
  </si>
  <si>
    <t xml:space="preserve">AV: Audio DSP (master row 759)</t>
  </si>
  <si>
    <t xml:space="preserve">Master list lookup failed (N/A). MAC 78-45-01-0C-7D-3A found on this port in the 200V tab (1230 (200V_av)). Also confirmed by LLDP on 6 Oct</t>
  </si>
  <si>
    <t xml:space="preserve">1/1/10</t>
  </si>
  <si>
    <t xml:space="preserve">AV: LCD 2 (master row 910)</t>
  </si>
  <si>
    <t xml:space="preserve">Master list lookup failed (N/A). MAC A8-4A-63-30-73-66 found on this port in the 200V tab (1230 (200V_av))</t>
  </si>
  <si>
    <t xml:space="preserve">1/1/11</t>
  </si>
  <si>
    <t xml:space="preserve">AV: LCD 1 (master row 909)</t>
  </si>
  <si>
    <t xml:space="preserve">Master list lookup failed (N/A). MAC A8-4A-63-30-73-67 found on this port in the 200V tab (1230 (200V_av))</t>
  </si>
  <si>
    <t xml:space="preserve">1/1/12</t>
  </si>
  <si>
    <t xml:space="preserve">AV: PTZ Camera (master row 1204)</t>
  </si>
  <si>
    <t xml:space="preserve">Master list lookup failed (N/A). MAC DC-E2-AC-02-E4-F5 found on this port in the 200V tab (1230 (200V_av))</t>
  </si>
  <si>
    <t xml:space="preserve">1/1/13</t>
  </si>
  <si>
    <t xml:space="preserve">AV: Room Camera (master row 1253)</t>
  </si>
  <si>
    <t xml:space="preserve">Master list lookup failed (N/A). MAC B8-A4-4F-69-B2-72 found on this port in the 200V tab (1230 (200V_av)). Also confirmed by LLDP on 6 Oct</t>
  </si>
  <si>
    <t xml:space="preserve">1/1/14</t>
  </si>
  <si>
    <t xml:space="preserve">AV: Occupancy Sensor (master row 957)</t>
  </si>
  <si>
    <t xml:space="preserve">Master list lookup failed (N/A). MAC B8-98-B0-0F-1C-66 found on this port in the 200V tab (1230 (200V_av))</t>
  </si>
  <si>
    <t xml:space="preserve">1/1/15</t>
  </si>
  <si>
    <t xml:space="preserve">AV: Projector Screen 2 (master row 1195)</t>
  </si>
  <si>
    <t xml:space="preserve">Master list lookup failed (N/A). MAC 04-91-62-D7-70-0D found on this port in the 200V tab (1230 (200V_av))</t>
  </si>
  <si>
    <t xml:space="preserve">Moved to 2700 in the 9 Oct cutover; device not yet seen on 2700 (AV team check, item 99)</t>
  </si>
  <si>
    <t xml:space="preserve">1/1/16</t>
  </si>
  <si>
    <t xml:space="preserve">AV: Projector Screen 1 (master row 1194)</t>
  </si>
  <si>
    <t xml:space="preserve">Master list lookup failed (N/A). MAC 54-10-EC-A2-E8-27 found on this port in the 200V tab (1230 (200V_av))</t>
  </si>
  <si>
    <t xml:space="preserve">Moved to 2700 in the 9 Oct cutover; device not yet seen on 2700 (AV team check, item 100)</t>
  </si>
  <si>
    <t xml:space="preserve">1/1/17</t>
  </si>
  <si>
    <t xml:space="preserve">AV: Projector 1 (master row 1176)</t>
  </si>
  <si>
    <t xml:space="preserve">Master list lookup failed (N/A). MAC 38-1A-52-B1-75-B6 found on this port in the 200V tab (1230 (200V_av))</t>
  </si>
  <si>
    <t xml:space="preserve">Moved to 2700 in the 9 Oct cutover; no decision recorded on the Review tab before the cutover</t>
  </si>
  <si>
    <t xml:space="preserve">1/1/18</t>
  </si>
  <si>
    <t xml:space="preserve">AV: Projector 2 (master row 1180)</t>
  </si>
  <si>
    <t xml:space="preserve">Master list lookup failed (N/A). MAC 38-1A-52-B1-74-BA found on this port in the 200V tab (1230 (200V_av))</t>
  </si>
  <si>
    <t xml:space="preserve">1/1/20</t>
  </si>
  <si>
    <t xml:space="preserve">AV: Touch Panel (master row 1339)</t>
  </si>
  <si>
    <t xml:space="preserve">Master list lookup failed (N/A). MAC C4-42-68-26-D6-48 found on this port in the 200V tab (1230 (200V_av)). Also confirmed by LLDP on 6 Oct</t>
  </si>
  <si>
    <t xml:space="preserve">switch-200V-stack-lv6</t>
  </si>
  <si>
    <t xml:space="preserve">4/1/24</t>
  </si>
  <si>
    <t xml:space="preserve">PhysicalAccess: cloe-000-200v (master row 1686)</t>
  </si>
  <si>
    <t xml:space="preserve">Master list lookup failed (N/A). MAC 00:11:B9:08:2B:67 found on this port in the 200V tab (1213 (200V_building))</t>
  </si>
  <si>
    <t xml:space="preserve">Accept port; move 1213 (200V_building) -&gt; 2510 (VL-bac-01)</t>
  </si>
  <si>
    <t xml:space="preserve">Moved to 2510 in the 9 Oct cutover</t>
  </si>
  <si>
    <t xml:space="preserve">2. Devices not found on any switch</t>
  </si>
  <si>
    <t xml:space="preserve">2</t>
  </si>
  <si>
    <t xml:space="preserve">AP: r650-39-4d-10 (master row 475), MAC C8:A6:08:39:4D:10</t>
  </si>
  <si>
    <t xml:space="preserve">MAC not in the 200V tab</t>
  </si>
  <si>
    <t xml:space="preserve">Find on site</t>
  </si>
  <si>
    <t xml:space="preserve">switch-200V-Tutorial-6.03</t>
  </si>
  <si>
    <t xml:space="preserve">1/1/9</t>
  </si>
  <si>
    <t xml:space="preserve">AV Switcher (master row 769)</t>
  </si>
  <si>
    <t xml:space="preserve">200V tab has 01d.560a.dfc0 on Tutorial-6.03 1/1/9 (same MAC, leading zero lost). Port is untagged 1230. 6 Oct: core sees 001d.560a.dfc0 live on VLAN 1230 behind Tutorial-6.03 (lag 6)</t>
  </si>
  <si>
    <t xml:space="preserve">AV: AV Switcher (master row 779), MAC 00-1D-56-0A-B4-AB</t>
  </si>
  <si>
    <t xml:space="preserve">AV: Projector (master row 1121), MAC F8:25:51:72:A4:52</t>
  </si>
  <si>
    <t xml:space="preserve">switch-200V-8</t>
  </si>
  <si>
    <t xml:space="preserve">1/1/6 (likely)</t>
  </si>
  <si>
    <t xml:space="preserve">AV: Projector (master row 1134), MAC F8:25:51:CB:8C:94</t>
  </si>
  <si>
    <t xml:space="preserve">MAC not in the 200V tab. 6 Oct: core sees f825.51cb.8c94 on VLAN 1230 behind switch-200V-8 (lag 4). 1/1/6 is the only port untagged in 1230 on that switch</t>
  </si>
  <si>
    <t xml:space="preserve">AV: Projector (master row 1145), MAC F8:25:51:CC:0F:C6</t>
  </si>
  <si>
    <t xml:space="preserve">3. Ports with a device seen but none listed</t>
  </si>
  <si>
    <t xml:space="preserve">3</t>
  </si>
  <si>
    <t xml:space="preserve">Unlisted device</t>
  </si>
  <si>
    <t xml:space="preserve">MAC 00:50:56:05:43:F1 seen in 200V tab; port untagged 1230 (200V_av). 00:50:56 is a VMware virtual MAC</t>
  </si>
  <si>
    <t xml:space="preserve">Identify device</t>
  </si>
  <si>
    <t xml:space="preserve">1/1/21</t>
  </si>
  <si>
    <t xml:space="preserve">MAC 48:21:0B:56:AC:A4 seen in 200V tab; port untagged 1240 (200V_staff). LLDP: CLA-TAN3130059J (NUC, MAC 48:21:0B:56:AC:A4), not in device list</t>
  </si>
  <si>
    <t xml:space="preserve">switch-200V-LT2-3</t>
  </si>
  <si>
    <t xml:space="preserve">1/1/4</t>
  </si>
  <si>
    <t xml:space="preserve">MAC d4:a2:cd:e1:dd:0e seen in 200V tab; port untagged 1240 (200v_staff)</t>
  </si>
  <si>
    <t xml:space="preserve">Done</t>
  </si>
  <si>
    <t xml:space="preserve">VL-staff-wired-01 - 2100 | Moved 9 Oct; link down (nothing connected on LT2-3)</t>
  </si>
  <si>
    <t xml:space="preserve">1/1/3</t>
  </si>
  <si>
    <t xml:space="preserve">MAC F8:25:51:CB:8C:76 seen in 200V tab; port untagged 1230</t>
  </si>
  <si>
    <t xml:space="preserve">switch-200V-stack-lv3</t>
  </si>
  <si>
    <t xml:space="preserve">1/1/48</t>
  </si>
  <si>
    <t xml:space="preserve">MAC 00:09:F5:32:DB:49 seen in 200V tab; port untagged 100 (management)</t>
  </si>
  <si>
    <t xml:space="preserve">2000	10.21.0.0/24	VL-netmgmt-01 | NOT moved: left on 100. Device live (0009.f532.db49); addressing unknown. Confirm DHCP or re-address into 10.21.0.0/24 before moving to 2000</t>
  </si>
  <si>
    <t xml:space="preserve">2/1/16</t>
  </si>
  <si>
    <t xml:space="preserve">MAC D8:43:AE:B1:69:BE seen in 200V tab; port untagged 1230 (200V_av)</t>
  </si>
  <si>
    <t xml:space="preserve">Move 1230 -&gt; 2700 with the rest of the room AV (config in 200V-av-unlisted-2700-ICX.txt)</t>
  </si>
  <si>
    <t xml:space="preserve">Moved 1230 -&gt; 2700 on 9 Oct (200V-av-unlisted-2700-ICX.txt)</t>
  </si>
  <si>
    <t xml:space="preserve">2/1/29</t>
  </si>
  <si>
    <t xml:space="preserve">MAC D8:43:AE:B1:6E:9B seen in 200V tab; port untagged 1230 (200V_av)</t>
  </si>
  <si>
    <t xml:space="preserve">3/1/5</t>
  </si>
  <si>
    <t xml:space="preserve">MAC 4C:C5:D9:D0:8D:2A seen in 200V tab; port untagged 1240 (200V_staff)</t>
  </si>
  <si>
    <t xml:space="preserve">VL-staff-wired-01 - 2100 | Moved 9 Oct; link down</t>
  </si>
  <si>
    <t xml:space="preserve">3/1/29</t>
  </si>
  <si>
    <t xml:space="preserve">MAC D8:3A:DD:C6:37:A8 seen in 200V tab; port untagged 230 (Library)</t>
  </si>
  <si>
    <t xml:space="preserve">2530(vl-library-01) | Moved 9 Oct; MAC learned on 2530</t>
  </si>
  <si>
    <t xml:space="preserve">3/1/31</t>
  </si>
  <si>
    <t xml:space="preserve">MAC D0:C1:B5:21:B3:20 seen in 200V tab; port untagged 1240 (200V_staff)</t>
  </si>
  <si>
    <t xml:space="preserve">3/1/33</t>
  </si>
  <si>
    <t xml:space="preserve">MAC 1C:1A:DF:C2:45:23 seen in 200V tab; port untagged 1240 (200V_staff)</t>
  </si>
  <si>
    <t xml:space="preserve">VL-staff-wired-01 - 2100 | Moved 9 Oct; link up, no MAC yet (device idle, 0 packets in)</t>
  </si>
  <si>
    <t xml:space="preserve">3/1/43</t>
  </si>
  <si>
    <t xml:space="preserve">MAC 1C:1A:DF:C2:45:39 seen in 200V tab; port untagged 1240 (200V_staff)</t>
  </si>
  <si>
    <t xml:space="preserve">VL-staff-wired-01 - 2100 | Moved 9 Oct; link up, no MAC yet (device idle)</t>
  </si>
  <si>
    <t xml:space="preserve">4/1/28</t>
  </si>
  <si>
    <t xml:space="preserve">MAC AC:B4:80:F1:61:85 seen in 200V tab; port untagged 1240 (200V_staff)</t>
  </si>
  <si>
    <t xml:space="preserve">4/1/29</t>
  </si>
  <si>
    <t xml:space="preserve">MAC 2C:CF:67:A6:4B:DE seen in 200V tab; port untagged 230 (Library)</t>
  </si>
  <si>
    <t xml:space="preserve">4/1/41</t>
  </si>
  <si>
    <t xml:space="preserve">MAC D8:43:AE:B1:6C:A8 seen in 200V tab; port untagged 1230 (200V_av)</t>
  </si>
  <si>
    <t xml:space="preserve">4/1/46</t>
  </si>
  <si>
    <t xml:space="preserve">MAC D8:43:AE:B1:6D:30 seen in 200V tab; port untagged 1230 (200V_av)</t>
  </si>
  <si>
    <t xml:space="preserve">5/1/18</t>
  </si>
  <si>
    <t xml:space="preserve">MAC D8:43:AE:B1:6E:B0 seen in 200V tab; port untagged 1230 (200V_av)</t>
  </si>
  <si>
    <t xml:space="preserve">5/1/24</t>
  </si>
  <si>
    <t xml:space="preserve">MAC D8:43:AE:B1:6E:3C seen in 200V tab; port untagged 1230 (200V_av)</t>
  </si>
  <si>
    <t xml:space="preserve">5/1/26</t>
  </si>
  <si>
    <t xml:space="preserve">MAC D8:43:AE:B1:6F:04 seen in 200V tab; port untagged 1230 (200V_av)</t>
  </si>
  <si>
    <t xml:space="preserve">5/1/45</t>
  </si>
  <si>
    <t xml:space="preserve">MAC D8:43:AE:B1:6F:00 seen in 200V tab; port untagged 1230 (200V_av)</t>
  </si>
  <si>
    <t xml:space="preserve">switch-200V-stack-lv4</t>
  </si>
  <si>
    <t xml:space="preserve">MAC D8:43:AE:B1:6E:06 seen in 200V tab; port untagged 1230 (200V_av)</t>
  </si>
  <si>
    <t xml:space="preserve">1/1/28</t>
  </si>
  <si>
    <t xml:space="preserve">MAC D8:43:AE:B1:6A:29 seen in 200V tab; port untagged 1230 (200V_av)</t>
  </si>
  <si>
    <t xml:space="preserve">MAC 00:09:F5:32:D9:F7 seen in 200V tab; port untagged 100 (management)</t>
  </si>
  <si>
    <t xml:space="preserve">2000	10.21.0.0/24	VL-netmgmt-01 | NOT moved: left on 100. Same vendor (00:09:F5) as lv3 1/1/48; confirm addressing before moving to 2000</t>
  </si>
  <si>
    <t xml:space="preserve">2/1/21</t>
  </si>
  <si>
    <t xml:space="preserve">MAC D8:43:AE:B1:70:1E seen in 200V tab; port untagged 1230 (200V_av)</t>
  </si>
  <si>
    <t xml:space="preserve">3/1/7</t>
  </si>
  <si>
    <t xml:space="preserve">MAC D4:A2:CD:E4:99:ED seen in 200V tab; port untagged 1240 (200V_staff)</t>
  </si>
  <si>
    <t xml:space="preserve">3/1/28</t>
  </si>
  <si>
    <t xml:space="preserve">MAC A0:4A:5E:E7:D5:71 seen in 200V tab; port untagged 1240 (200V_staff)</t>
  </si>
  <si>
    <t xml:space="preserve">4/1/6</t>
  </si>
  <si>
    <t xml:space="preserve">MAC D8:43:AE:B1:6D:56 seen in 200V tab; port untagged 1230 (200V_av)</t>
  </si>
  <si>
    <t xml:space="preserve">4/1/19</t>
  </si>
  <si>
    <t xml:space="preserve">MAC 38:4B:76:E0:B0:B1 seen in 200V tab; port untagged 1272 (200V_av). Same vendor prefix (38:4B:76) as the listed Airtames</t>
  </si>
  <si>
    <t xml:space="preserve">Airtame-type device (384b.76e0.b0b1); moved 1272 -&gt; 2700 on 10 Oct</t>
  </si>
  <si>
    <t xml:space="preserve">4/1/30</t>
  </si>
  <si>
    <t xml:space="preserve">MAC F8:25:51:CC:2C:76 seen in 200V tab; port untagged 1230 (200V_av)</t>
  </si>
  <si>
    <t xml:space="preserve">Moved 1230 -&gt; 2700 on 10 Oct (confirmed Pvid 2700 in show interfaces brief)</t>
  </si>
  <si>
    <t xml:space="preserve">5/1/7</t>
  </si>
  <si>
    <t xml:space="preserve">MAC D8:43:AE:B1:69:32 seen in 200V tab; port untagged 1230 (200V_av)</t>
  </si>
  <si>
    <t xml:space="preserve">5/1/12</t>
  </si>
  <si>
    <t xml:space="preserve">MAC D8:43:AE:B1:6C:8C seen in 200V tab; port untagged 1230 (200V_av)</t>
  </si>
  <si>
    <t xml:space="preserve">5/1/21</t>
  </si>
  <si>
    <t xml:space="preserve">MAC D8:43:AE:B1:6D:DF seen in 200V tab; port untagged 1230 (200V_av)</t>
  </si>
  <si>
    <t xml:space="preserve">5/1/29</t>
  </si>
  <si>
    <t xml:space="preserve">MAC D8:43:AE:B1:6F:10 seen in 200V tab; port untagged 1230 (200V_av)</t>
  </si>
  <si>
    <t xml:space="preserve">1/1/31</t>
  </si>
  <si>
    <t xml:space="preserve">MAC 1C:1A:DF:C2:44:7A seen in 200V tab; port untagged 1240 (200V_staff)</t>
  </si>
  <si>
    <t xml:space="preserve">VL-staff-wired-01 - 2100 | Moved 9 Oct; link up (1272/1273 still tagged), MAC not yet checked</t>
  </si>
  <si>
    <t xml:space="preserve">3/1/1</t>
  </si>
  <si>
    <t xml:space="preserve">MAC A0:4A:5E:E7:D3:D5 seen in 200V tab; port untagged 1240 (200V_staff)</t>
  </si>
  <si>
    <t xml:space="preserve">4/1/1</t>
  </si>
  <si>
    <t xml:space="preserve">MAC 1C:1A:DF:C2:45:96 seen in 200V tab; port untagged 1240 (200V_staff)</t>
  </si>
  <si>
    <t xml:space="preserve">5/1/30</t>
  </si>
  <si>
    <t xml:space="preserve">MAC 1C:1A:DF:C0:98:B8 seen in 200V tab; port untagged 1240 (200V_staff)</t>
  </si>
  <si>
    <t xml:space="preserve">VL-staff-wired-01 - 2100 | Moved 9 Oct; MAC learned on 2100</t>
  </si>
  <si>
    <t xml:space="preserve">5/1/48</t>
  </si>
  <si>
    <t xml:space="preserve">MAC 1C:1A:DF:C2:4E:3C seen in 200V tab; port untagged 1240 (200V_staff)</t>
  </si>
  <si>
    <t xml:space="preserve">6/1/16</t>
  </si>
  <si>
    <t xml:space="preserve">MAC 1C:1A:DF:C0:31:0F seen in 200V tab; port untagged 1240 (200V_staff)</t>
  </si>
  <si>
    <t xml:space="preserve">6/1/22</t>
  </si>
  <si>
    <t xml:space="preserve">MAC 1C:1A:DF:C2:51:31 seen in 200V tab; port untagged 1240 (200V_staff)</t>
  </si>
  <si>
    <t xml:space="preserve">6/1/31</t>
  </si>
  <si>
    <t xml:space="preserve">MAC 48:21:0B:56:AE:44 seen in 200V tab; port untagged 1240 (200V_staff)</t>
  </si>
  <si>
    <t xml:space="preserve">1240 port</t>
  </si>
  <si>
    <t xml:space="preserve">6 Oct: core sees 0009.f532.db14 and 0009.f532.db15 on VLAN 1240 behind switch-200V-8 (lag 4). Port not known; 1240 is untagged on 1/1/1-1/1/5 and 1/1/7-1/1/11. Same vendor prefix (00:09:F5) as the unlisted devices on lv3 and lv4 1/1/48</t>
  </si>
  <si>
    <t xml:space="preserve">4. Ports needing a decision (no device seen)</t>
  </si>
  <si>
    <t xml:space="preserve">4</t>
  </si>
  <si>
    <t xml:space="preserve">2/1/47</t>
  </si>
  <si>
    <t xml:space="preserve">Already untagged on 2010, no AP listed</t>
  </si>
  <si>
    <t xml:space="preserve">Port is on a new VLAN outside the pilot</t>
  </si>
  <si>
    <t xml:space="preserve">Confirm on site</t>
  </si>
  <si>
    <t xml:space="preserve">GC - leave the VLAN as they are</t>
  </si>
  <si>
    <t xml:space="preserve">2/1/8</t>
  </si>
  <si>
    <t xml:space="preserve">Untagged on 1212 (CCTV), no camera listed</t>
  </si>
  <si>
    <t xml:space="preserve">No MAC seen</t>
  </si>
  <si>
    <t xml:space="preserve">AP-style port with no AP listed</t>
  </si>
  <si>
    <t xml:space="preserve">Untagged 100 with tagged VLANs on top (AP-style port); no AP listed, no MAC seen</t>
  </si>
  <si>
    <t xml:space="preserve">1/1/35</t>
  </si>
  <si>
    <t xml:space="preserve">5/1/35</t>
  </si>
  <si>
    <t xml:space="preserve">1/1/2</t>
  </si>
  <si>
    <t xml:space="preserve">Untagged 100 with tagged VLANs on top (AP-style port); no AP listed, no MAC seen. PoE disabled (no inline power)</t>
  </si>
  <si>
    <t xml:space="preserve">Untagged 100, no tagged VLANs, no device</t>
  </si>
  <si>
    <t xml:space="preserve">Untagged 230 (Library), no device</t>
  </si>
  <si>
    <t xml:space="preserve">No MAC seen; VLAN 230 not in the 200V mapping</t>
  </si>
  <si>
    <t xml:space="preserve">Default for 1240 ports with no device: 2100</t>
  </si>
  <si>
    <t xml:space="preserve">222 ports on 1240 have no device listed. In the pilot 1240 went to 2100 (outlets), 2800 (printers) or 2700 (NUC)</t>
  </si>
  <si>
    <t xml:space="preserve">5. Trunk ports to identify before cutover</t>
  </si>
  <si>
    <t xml:space="preserve">5</t>
  </si>
  <si>
    <t xml:space="preserve">Tagged-only port, nothing connected</t>
  </si>
  <si>
    <t xml:space="preserve">Checked 6 Oct: untagged VLAN 1 (PVID 1), link down, no LLDP neighbour, no MACs learned, PoE on, drawing 0 W. Carries old VLANs only</t>
  </si>
  <si>
    <t xml:space="preserve">Leave as is; no cutover action. Remove old VLANs when they are retired</t>
  </si>
  <si>
    <t xml:space="preserve">9 Oct: left as is</t>
  </si>
  <si>
    <t xml:space="preserve">2/1/46</t>
  </si>
  <si>
    <t xml:space="preserve">7/1/1</t>
  </si>
  <si>
    <t xml:space="preserve">Checked 6 Oct: untagged VLAN 1 (PVID 1), link down, no LLDP neighbour, no MACs learned, unit 7 has no PoE. Carries old VLANs only</t>
  </si>
  <si>
    <t xml:space="preserve">1/1/1</t>
  </si>
  <si>
    <t xml:space="preserve">6 Oct: all 8 MACs the core sees behind Tutorial-6.03 (lag 6) are known devices on other ports, so nothing is behind this port. No remote login to the switch to confirm</t>
  </si>
  <si>
    <t xml:space="preserve">Tagged-only port, most likely nothing connected</t>
  </si>
  <si>
    <t xml:space="preserve">6 Oct: behind switch-200V-8 (lag 4) the core sees only the switch itself, a projector on 1230 and one device on 1240; no other MACs that would point to something on this port. No remote login to confirm</t>
  </si>
  <si>
    <t xml:space="preserve">6. Switch config points</t>
  </si>
  <si>
    <t xml:space="preserve">6</t>
  </si>
  <si>
    <t xml:space="preserve">trinity200V-core</t>
  </si>
  <si>
    <t xml:space="preserve">Set system-max spanning-tree 40</t>
  </si>
  <si>
    <t xml:space="preserve">34 VLANs, spanning-tree on 32. Current limit: default (32). VLANs without spanning-tree: 2952, 2953. The ICX default is 32 spanning-tree instances; the new limit applies after a reload</t>
  </si>
  <si>
    <t xml:space="preserve">See system-max-spanning-tree-40-ICX.txt
configure terminal
system-max spanning-tree 40
write memory
Then reload in a maintenance window</t>
  </si>
  <si>
    <t xml:space="preserve">Done 9 Oct: reloaded, spanning-tree current 40</t>
  </si>
  <si>
    <t xml:space="preserve">35 VLANs, spanning-tree on 32. Current limit: default (32). VLANs without spanning-tree: 2311, 2321, 2953. The ICX default is 32 spanning-tree instances; the new limit applies after a reload</t>
  </si>
  <si>
    <t xml:space="preserve">Reload to apply system-max spanning-tree 40</t>
  </si>
  <si>
    <t xml:space="preserve">35 VLANs, spanning-tree on 32. Current limit: 40 configured, not yet active. VLANs without spanning-tree: 2311, 2321, 2953. The ICX default is 32 spanning-tree instances; the new limit applies after a reload</t>
  </si>
  <si>
    <t xml:space="preserve">See system-max-spanning-tree-40-ICX.txt
40 is already saved; reload in a maintenance window</t>
  </si>
  <si>
    <t xml:space="preserve">Set system-max spanning-tree 40, then enable spanning-tree on 2600 and 2700</t>
  </si>
  <si>
    <t xml:space="preserve">35 VLANs, spanning-tree on 32. Current limit: default (32). VLANs without spanning-tree: 2600, 2700, 2953. The ICX default is 32 spanning-tree instances; the new limit applies after a reload</t>
  </si>
  <si>
    <t xml:space="preserve">See system-max-spanning-tree-40-ICX.txt
configure terminal
system-max spanning-tree 40
write memory
Then reload in a maintenance window, then:
configure terminal
vlan 2600
 spanning-tree
 exit
vlan 2700
 spanning-tree
 exit
write memory</t>
  </si>
  <si>
    <t xml:space="preserve">Done 9 Oct: reloaded, spanning-tree current 40; STP on 2600 and 2700 enabled</t>
  </si>
  <si>
    <t xml:space="preserve">34 VLANs, spanning-tree on 32. Current limit: default (32). VLANs without spanning-tree: 2311, 2321. The ICX default is 32 spanning-tree instances; the new limit applies after a reload</t>
  </si>
  <si>
    <t xml:space="preserve">switch-200V-LT2-2</t>
  </si>
  <si>
    <t xml:space="preserve">32 VLANs, spanning-tree on 32. Current limit: default (32). VLANs without spanning-tree: none. The ICX default is 32 spanning-tree instances; the new limit applies after a reload</t>
  </si>
  <si>
    <t xml:space="preserve">28 VLANs, spanning-tree on 28. Current limit: default (32). VLANs without spanning-tree: none. The ICX default is 32 spanning-tree instances; the new limit applies after a reload</t>
  </si>
  <si>
    <t xml:space="preserve">26 VLANs, spanning-tree on 26. Current limit: default (32). VLANs without spanning-tree: none. The ICX default is 32 spanning-tree instances; the new limit applies after a reload</t>
  </si>
  <si>
    <t xml:space="preserve">VLAN 100 tagged on every port (1/1/1-1/1/12)</t>
  </si>
  <si>
    <t xml:space="preserve">Access ports 1/1/1-11 are untagged 1240; other switches only tag 100 on uplinks/APs</t>
  </si>
  <si>
    <t xml:space="preserve">Review; remove from access ports if not needed</t>
  </si>
  <si>
    <t xml:space="preserve">7. Follow-ups from the 9 Oct cutover</t>
  </si>
  <si>
    <t xml:space="preserve">7</t>
  </si>
  <si>
    <t xml:space="preserve">Unplanned change: WIFIMGMT-IN ACL (SmartZone and RADIUS)</t>
  </si>
  <si>
    <t xml:space="preserve">APs on VLAN 2010 kept flapping in SmartZone: WIFIMGMT-IN denied the SmartZone private IPs. Added sequence 23 permit ip 10.21.1.0 0.0.0.255 host 192.168.81.100 and sequence 24 permit ip 10.21.1.0 0.0.0.255 host 192.168.245.100; APs stable after. Later: Trinity Wireless clients could not authenticate; the WLAN's AAA server (FreeRADIUS 10.128.131.7, UDP 18200, not proxied) was denied by seq 30. Added sequence 25 permit udp 10.21.1.0 0.0.0.255 host 10.128.131.7. Two example entries for 10.20.16.10 were pasted in error and removed</t>
  </si>
  <si>
    <t xml:space="preserve">Record in the change record. Confirm write memory on the core</t>
  </si>
  <si>
    <t xml:space="preserve">Done 9 Oct; core saved. Recorded in the change document</t>
  </si>
  <si>
    <t xml:space="preserve">Unit 3 hangs; units 3 and 4 drop out of the stack</t>
  </si>
  <si>
    <t xml:space="preserve">Log: units 3 and 4 deleted 20:03 on 9 Oct (rejoined 20:44 after restart) and again 22:44:19 on 9 Oct, no stack-port, power or temperature message before it. Out ~15 h until unit 3 power cycled 13:35 on 10 Oct; unit 3 uptime 5 min, unit 4 20 h. Unit 3 = ICX8200-48PF2 FNM4319U09A, 10.0.10g_cd3</t>
  </si>
  <si>
    <t xml:space="preserve">Open Ruckus TAC case and RMA unit 3 (show logging, show tech-support, show version). Until replaced: check show stack; power cycle unit 3 if units 3/4 missing</t>
  </si>
  <si>
    <t xml:space="preserve">switch-200V-stack-lv6 (urgent), switch-200V-stack-lv4</t>
  </si>
  <si>
    <t xml:space="preserve">Stack cabled as a chain, not a ring</t>
  </si>
  <si>
    <t xml:space="preserve">A single stack link or unit failure splits the stack. lv3 is a ring</t>
  </si>
  <si>
    <t xml:space="preserve">lv6: stack unit 4 stack-port 4/2/1 4/2/3; stack unit 7 stack-port 7/2/1 7/2/3; cable 4/2/3 to 7/2/3 out of hours. Keep unit IDs and priorities (1 active 128, 2 standby 110). lv4 later</t>
  </si>
  <si>
    <t xml:space="preserve">All 200V switches</t>
  </si>
  <si>
    <t xml:space="preserve">Spanning-tree root is switch-200V-8</t>
  </si>
  <si>
    <t xml:space="preserve">switch-200V-8 has the lowest MAC, so it is root for the 802.1D VLANs. This was the case before the migration</t>
  </si>
  <si>
    <t xml:space="preserve">Set a lower spanning-tree priority on trinity200V-core in a later window</t>
  </si>
  <si>
    <t xml:space="preserve">Check STP on VLAN 2600</t>
  </si>
  <si>
    <t xml:space="preserve">lg10 on 2700 confirmed FORWARDING; 2600 not yet checked</t>
  </si>
  <si>
    <t xml:space="preserve">show span vlan 2600: lg10 FORWARDING</t>
  </si>
  <si>
    <t xml:space="preserve">switch-200V-stack-lv4, switch-200V-Tutorial-6.03, trinity200V-core</t>
  </si>
  <si>
    <t xml:space="preserve">Confirm write memory</t>
  </si>
  <si>
    <t xml:space="preserve">write memory confirmed on lv6 and lv3 (9 Oct, after the Review tab changes) and LT2-3</t>
  </si>
  <si>
    <t xml:space="preserve">Run write memory on each and confirm</t>
  </si>
  <si>
    <t xml:space="preserve">7/1/19</t>
  </si>
  <si>
    <t xml:space="preserve">Printer 200v-lvl-6-staff-corridor</t>
  </si>
  <si>
    <t xml:space="preserve">Ended up on 2700 during the paste; moved to 2800 the same night</t>
  </si>
  <si>
    <t xml:space="preserve">Test print on Saturday</t>
  </si>
  <si>
    <t xml:space="preserve">1/1/3, 1/1/9</t>
  </si>
  <si>
    <t xml:space="preserve">Two extra ports moved to 2700</t>
  </si>
  <si>
    <t xml:space="preserve">Both were on 1230 with a MAC seen but no device listed. 1/1/9 is the AV Switcher on the Not found tab (master row 769); 1/1/3 is F8:25:51:CB:8C:76</t>
  </si>
  <si>
    <t xml:space="preserve">Add both devices to the master list</t>
  </si>
  <si>
    <t xml:space="preserve">AV not yet seen on 2700: Projector Screen 2 (04-91-62-D7-70-0D)</t>
  </si>
  <si>
    <t xml:space="preserve">Port moved; no MAC learned on the port after the cutover. Probably idle or powered off</t>
  </si>
  <si>
    <t xml:space="preserve">AV team to check on Saturday</t>
  </si>
  <si>
    <t xml:space="preserve">AV not yet seen on 2700: Projector Screen 1 (54-10-EC-A2-E8-27)</t>
  </si>
  <si>
    <t xml:space="preserve">AV not yet seen on 2700: Projector Screen Left (80:34:28:5C:F1:F2)</t>
  </si>
  <si>
    <t xml:space="preserve">5/1/37</t>
  </si>
  <si>
    <t xml:space="preserve">AV not yet seen on 2700: Projector Right (38:1A:52:B2:00:9F)</t>
  </si>
  <si>
    <t xml:space="preserve">5/1/39</t>
  </si>
  <si>
    <t xml:space="preserve">AV not yet seen on 2700: Projector Left (38:1A:52:B1:FF:B9)</t>
  </si>
  <si>
    <t xml:space="preserve">AV not yet seen on 2700: PDU (B8:80:4F:28:58:2D)</t>
  </si>
  <si>
    <t xml:space="preserve">Port moved; 7 of 8 devices seen on 2700, this one not</t>
  </si>
  <si>
    <t xml:space="preserve">SmartZone</t>
  </si>
  <si>
    <t xml:space="preserve">Trinity Wireless v2300: clients authenticate but get no IP</t>
  </si>
  <si>
    <t xml:space="preserve">200v WLAN group overrides are all Default, so the WLAN maps to VLAN 2300 as built</t>
  </si>
  <si>
    <t xml:space="preserve">Find the client MAC on the core (show mac-address); check ve 2300 helpers, STUDENT-GROUP-IN, DHCP snooping and the 10.21.8.0/21 scope</t>
  </si>
  <si>
    <t xml:space="preserve">Trinity NetSegPilot is not in the 200v WLAN group</t>
  </si>
  <si>
    <t xml:space="preserve">The plan was to keep NetSegPilot (VLAN 2300); the group now holds eduroam v2900, Trinity Visitor v2900 and Trinity Wireless v2300</t>
  </si>
  <si>
    <t xml:space="preserve">Confirm whether it was removed on purpose; add back if not</t>
  </si>
  <si>
    <t xml:space="preserve">Trinity Wireless v2300: no IP, then authentication failure</t>
  </si>
  <si>
    <t xml:space="preserve">WLAN group overrides all Default (VLAN 2300). Authentication failed because WIFIMGMT-IN denied the APs' RADIUS requests to 10.128.131.7; fixed with sequence 25. Path checked with ping/traceroute from 10.21.1.1. Trinity Wireless working 9 Oct</t>
  </si>
  <si>
    <t xml:space="preserve">Confirm clients get 10.21.8.x. Confirm whether Trinity also changed FreeRADIUS clients.conf or the firewall at 10.136.0.2 for 10.21.1.0/24</t>
  </si>
  <si>
    <t xml:space="preserve">Working 9 Oct</t>
  </si>
  <si>
    <t xml:space="preserve">switch-200V-stack-lv3, switch-200V-stack-lv6</t>
  </si>
  <si>
    <t xml:space="preserve">3/1/33, 3/1/43; 1/1/31, 4/1/1, 5/1/48</t>
  </si>
  <si>
    <t xml:space="preserve">Review tab ports with link up but no MAC on 2100</t>
  </si>
  <si>
    <t xml:space="preserve">Moved 9 Oct; link up but no MAC learned yet (lv3 3/1/33 showed 0 packets in). Most likely idle devices</t>
  </si>
  <si>
    <t xml:space="preserve">show mac-address vlan 2100 on lv3 and lv6 on Saturday</t>
  </si>
  <si>
    <t xml:space="preserve">switch-200V-stack-lv3, switch-200V-stack-lv4</t>
  </si>
  <si>
    <t xml:space="preserve">00:09:F5 devices left on VLAN 100 (Review items 25, 43)</t>
  </si>
  <si>
    <t xml:space="preserve">Live on VLAN 100 (lv3 0009.f532.db49). Not known whether they have a fixed 192.168.122.x address</t>
  </si>
  <si>
    <t xml:space="preserve">Confirm addressing; then move to 2000 with the lines in 200V-review-changes-ICX.txt</t>
  </si>
  <si>
    <t xml:space="preserve">Test eduroam v2900 and Trinity Visitor v2900</t>
  </si>
  <si>
    <t xml:space="preserve">Both should give 10.21.29.x. eduroam's RADIUS server may be outside the ranges WIFIMGMT-IN permits</t>
  </si>
  <si>
    <t xml:space="preserve">Test both; if eduroam fails, get its RADIUS server IP and add a WIFIMGMT-IN entry before sequence 30</t>
  </si>
  <si>
    <t xml:space="preserve">lv3 2/1/26; lv4 1/1/24, 2/1/24</t>
  </si>
  <si>
    <t xml:space="preserve">Patching sheet and device list disagree</t>
  </si>
  <si>
    <t xml:space="preserve">Dycom patching sheet (2025-07-30) puts outlets 200V3J14, 200V4I17 and 200V4H9 (20:7B:D2:30 devices C1, 99:25, 99:15) on these ports; the device list has a Touch Panel and two Airtames there. Ports are on 2700</t>
  </si>
  <si>
    <t xml:space="preserve">Confirm on site what is patched; if the 20:7B:D2:30 devices are there, move the ports to 2100</t>
  </si>
  <si>
    <t xml:space="preserve">SmartZone shows 5 stack members instead of 7</t>
  </si>
  <si>
    <t xml:space="preserve">Switch Online in SmartZone; show stack on the switch has all 7 units Ready after 13:35 on 10 Oct. manager disable / no manager disable and write memory did not refresh it</t>
  </si>
  <si>
    <t xml:space="preserve">Display issue only. Add to the TAC case; do not delete/re-add the switch or reload the stack for it. Use show stack on the switch meanwhile</t>
  </si>
  <si>
    <t xml:space="preserve">Ports still untagged on an old VLAN, from show interfaces brief on 10 Oct 2026 (lv3, lv4, lv6; lv6 1240 ports re-checked after units 3 and 4 rejoined). Pvid 1, uplinks and stack ports are left out.</t>
  </si>
  <si>
    <t xml:space="preserve">Link</t>
  </si>
  <si>
    <t xml:space="preserve">Speed</t>
  </si>
  <si>
    <t xml:space="preserve">Tagged</t>
  </si>
  <si>
    <t xml:space="preserve">Old VLAN</t>
  </si>
  <si>
    <t xml:space="preserve">Suggested new VLAN</t>
  </si>
  <si>
    <t xml:space="preserve">Review item</t>
  </si>
  <si>
    <t xml:space="preserve">Notes</t>
  </si>
  <si>
    <t xml:space="preserve">MAC seen 10 Oct</t>
  </si>
  <si>
    <t xml:space="preserve">lv3</t>
  </si>
  <si>
    <t xml:space="preserve">Down</t>
  </si>
  <si>
    <t xml:space="preserve">Yes</t>
  </si>
  <si>
    <t xml:space="preserve">100 (management)</t>
  </si>
  <si>
    <t xml:space="preserve">AP-style port (tagged VLANs)</t>
  </si>
  <si>
    <t xml:space="preserve">65</t>
  </si>
  <si>
    <t xml:space="preserve">1/1/34</t>
  </si>
  <si>
    <t xml:space="preserve">No</t>
  </si>
  <si>
    <t xml:space="preserve">1230 (200V_av)</t>
  </si>
  <si>
    <t xml:space="preserve">2700 (VL-av-01)</t>
  </si>
  <si>
    <t xml:space="preserve">Up</t>
  </si>
  <si>
    <t xml:space="preserve">100M</t>
  </si>
  <si>
    <t xml:space="preserve">2000 (VL-netmgmt-01) once addressing is confirmed</t>
  </si>
  <si>
    <t xml:space="preserve">25, 109</t>
  </si>
  <si>
    <t xml:space="preserve">MAC seen 6 Oct: 00:09:F5:32:DB:49</t>
  </si>
  <si>
    <t xml:space="preserve">0009.f532.db49</t>
  </si>
  <si>
    <t xml:space="preserve">2/1/14</t>
  </si>
  <si>
    <t xml:space="preserve">2/1/24</t>
  </si>
  <si>
    <t xml:space="preserve">111</t>
  </si>
  <si>
    <t xml:space="preserve">2/1/27</t>
  </si>
  <si>
    <t xml:space="preserve">2/1/34</t>
  </si>
  <si>
    <t xml:space="preserve">3/1/3</t>
  </si>
  <si>
    <t xml:space="preserve">1240 (200V_staff)</t>
  </si>
  <si>
    <t xml:space="preserve">2100 (VL-staff-wired-01)</t>
  </si>
  <si>
    <t xml:space="preserve">3/1/10</t>
  </si>
  <si>
    <t xml:space="preserve">1G</t>
  </si>
  <si>
    <t xml:space="preserve">3/1/11</t>
  </si>
  <si>
    <t xml:space="preserve">3/1/13</t>
  </si>
  <si>
    <t xml:space="preserve">3/1/15</t>
  </si>
  <si>
    <t xml:space="preserve">3/1/16</t>
  </si>
  <si>
    <t xml:space="preserve">3/1/19</t>
  </si>
  <si>
    <t xml:space="preserve">3/1/20</t>
  </si>
  <si>
    <t xml:space="preserve">Moved to 2100 on 10 Oct.</t>
  </si>
  <si>
    <t xml:space="preserve">1c1a.dfc2.5143</t>
  </si>
  <si>
    <t xml:space="preserve">3/1/27</t>
  </si>
  <si>
    <t xml:space="preserve">230 (Library)</t>
  </si>
  <si>
    <t xml:space="preserve">2530 (VL-library-01) - check</t>
  </si>
  <si>
    <t xml:space="preserve">71</t>
  </si>
  <si>
    <t xml:space="preserve">4/1/2</t>
  </si>
  <si>
    <t xml:space="preserve">4/1/23</t>
  </si>
  <si>
    <t xml:space="preserve">4/1/25</t>
  </si>
  <si>
    <t xml:space="preserve">4/1/26</t>
  </si>
  <si>
    <t xml:space="preserve">4/1/27</t>
  </si>
  <si>
    <t xml:space="preserve">4/1/45</t>
  </si>
  <si>
    <t xml:space="preserve">5/1/4</t>
  </si>
  <si>
    <t xml:space="preserve">5/1/5</t>
  </si>
  <si>
    <t xml:space="preserve">5/1/6</t>
  </si>
  <si>
    <t xml:space="preserve">5/1/13</t>
  </si>
  <si>
    <t xml:space="preserve">5/1/15</t>
  </si>
  <si>
    <t xml:space="preserve">5/1/20</t>
  </si>
  <si>
    <t xml:space="preserve">5/1/32</t>
  </si>
  <si>
    <t xml:space="preserve">5/1/43</t>
  </si>
  <si>
    <t xml:space="preserve">lv4</t>
  </si>
  <si>
    <t xml:space="preserve">66</t>
  </si>
  <si>
    <t xml:space="preserve">1/1/32</t>
  </si>
  <si>
    <t xml:space="preserve">43, 109</t>
  </si>
  <si>
    <t xml:space="preserve">MAC seen 6 Oct: 00:09:F5:32:D9:F7</t>
  </si>
  <si>
    <t xml:space="preserve">0009.f532.d9f7</t>
  </si>
  <si>
    <t xml:space="preserve">1212 (200V_IPcam)</t>
  </si>
  <si>
    <t xml:space="preserve">2600 (VL-cctv-01)</t>
  </si>
  <si>
    <t xml:space="preserve">64</t>
  </si>
  <si>
    <t xml:space="preserve">2/1/18</t>
  </si>
  <si>
    <t xml:space="preserve">2/1/20</t>
  </si>
  <si>
    <t xml:space="preserve">1c1a.dfc2.4cc3</t>
  </si>
  <si>
    <t xml:space="preserve">3/1/4</t>
  </si>
  <si>
    <t xml:space="preserve">10M</t>
  </si>
  <si>
    <t xml:space="preserve">3/1/9</t>
  </si>
  <si>
    <t xml:space="preserve">3/1/14</t>
  </si>
  <si>
    <t xml:space="preserve">3/1/21</t>
  </si>
  <si>
    <t xml:space="preserve">3/1/22</t>
  </si>
  <si>
    <t xml:space="preserve">3/1/30</t>
  </si>
  <si>
    <t xml:space="preserve">3/1/35</t>
  </si>
  <si>
    <t xml:space="preserve">3/1/37</t>
  </si>
  <si>
    <t xml:space="preserve">3/1/39</t>
  </si>
  <si>
    <t xml:space="preserve">3/1/42</t>
  </si>
  <si>
    <t xml:space="preserve">3/1/45</t>
  </si>
  <si>
    <t xml:space="preserve">3/1/47</t>
  </si>
  <si>
    <t xml:space="preserve">3/1/48</t>
  </si>
  <si>
    <t xml:space="preserve">4/1/7</t>
  </si>
  <si>
    <t xml:space="preserve">4/1/10</t>
  </si>
  <si>
    <t xml:space="preserve">4/1/16</t>
  </si>
  <si>
    <t xml:space="preserve">4/1/17</t>
  </si>
  <si>
    <t xml:space="preserve">1272 (200V_av)</t>
  </si>
  <si>
    <t xml:space="preserve">48</t>
  </si>
  <si>
    <t xml:space="preserve">Moved to 2700 on 10 Oct. MAC seen 6 Oct: 38:4B:76:E0:B0:B1</t>
  </si>
  <si>
    <t xml:space="preserve">384b.76e0.b0b1</t>
  </si>
  <si>
    <t xml:space="preserve">4/1/31</t>
  </si>
  <si>
    <t xml:space="preserve">4/1/32</t>
  </si>
  <si>
    <t xml:space="preserve">4/1/38</t>
  </si>
  <si>
    <t xml:space="preserve">4/1/39</t>
  </si>
  <si>
    <t xml:space="preserve">4/1/44</t>
  </si>
  <si>
    <t xml:space="preserve">5/1/1</t>
  </si>
  <si>
    <t xml:space="preserve">5/1/2</t>
  </si>
  <si>
    <t xml:space="preserve">5/1/14</t>
  </si>
  <si>
    <t xml:space="preserve">5/1/16</t>
  </si>
  <si>
    <t xml:space="preserve">5/1/19</t>
  </si>
  <si>
    <t xml:space="preserve">5/1/38</t>
  </si>
  <si>
    <t xml:space="preserve">5/1/40</t>
  </si>
  <si>
    <t xml:space="preserve">5/1/47</t>
  </si>
  <si>
    <t xml:space="preserve">lv6</t>
  </si>
  <si>
    <t xml:space="preserve">1/1/5</t>
  </si>
  <si>
    <t xml:space="preserve">1/1/30</t>
  </si>
  <si>
    <t xml:space="preserve">1/1/33</t>
  </si>
  <si>
    <t xml:space="preserve">67</t>
  </si>
  <si>
    <t xml:space="preserve">1/1/36</t>
  </si>
  <si>
    <t xml:space="preserve">1/1/41</t>
  </si>
  <si>
    <t xml:space="preserve">1/1/42</t>
  </si>
  <si>
    <t xml:space="preserve">1/1/43</t>
  </si>
  <si>
    <t xml:space="preserve">1/1/44</t>
  </si>
  <si>
    <t xml:space="preserve">1/1/45</t>
  </si>
  <si>
    <t xml:space="preserve">1/1/46</t>
  </si>
  <si>
    <t xml:space="preserve">1/1/47</t>
  </si>
  <si>
    <t xml:space="preserve">2/1/4</t>
  </si>
  <si>
    <t xml:space="preserve">2/1/5</t>
  </si>
  <si>
    <t xml:space="preserve">2/1/6</t>
  </si>
  <si>
    <t xml:space="preserve">2/1/7</t>
  </si>
  <si>
    <t xml:space="preserve">2/1/9</t>
  </si>
  <si>
    <t xml:space="preserve">2/1/10</t>
  </si>
  <si>
    <t xml:space="preserve">2/1/11</t>
  </si>
  <si>
    <t xml:space="preserve">2/1/12</t>
  </si>
  <si>
    <t xml:space="preserve">2/1/13</t>
  </si>
  <si>
    <t xml:space="preserve">2/1/48</t>
  </si>
  <si>
    <t xml:space="preserve">3/1/2</t>
  </si>
  <si>
    <t xml:space="preserve">3/1/6</t>
  </si>
  <si>
    <t xml:space="preserve">3/1/8</t>
  </si>
  <si>
    <t xml:space="preserve">3/1/23</t>
  </si>
  <si>
    <t xml:space="preserve">4/1/3</t>
  </si>
  <si>
    <t xml:space="preserve">4/1/9</t>
  </si>
  <si>
    <t xml:space="preserve">5/1/3</t>
  </si>
  <si>
    <t xml:space="preserve">5/1/8</t>
  </si>
  <si>
    <t xml:space="preserve">5/1/9</t>
  </si>
  <si>
    <t xml:space="preserve">5/1/10</t>
  </si>
  <si>
    <t xml:space="preserve">5/1/11</t>
  </si>
  <si>
    <t xml:space="preserve">5/1/17</t>
  </si>
  <si>
    <t xml:space="preserve">5/1/22</t>
  </si>
  <si>
    <t xml:space="preserve">5/1/23</t>
  </si>
  <si>
    <t xml:space="preserve">5/1/25</t>
  </si>
  <si>
    <t xml:space="preserve">5/1/27</t>
  </si>
  <si>
    <t xml:space="preserve">5/1/28</t>
  </si>
  <si>
    <t xml:space="preserve">5/1/31</t>
  </si>
  <si>
    <t xml:space="preserve">5/1/33</t>
  </si>
  <si>
    <t xml:space="preserve">68</t>
  </si>
  <si>
    <t xml:space="preserve">5/1/36</t>
  </si>
  <si>
    <t xml:space="preserve">5/1/41</t>
  </si>
  <si>
    <t xml:space="preserve">5/1/44</t>
  </si>
  <si>
    <t xml:space="preserve">5/1/46</t>
  </si>
  <si>
    <t xml:space="preserve">6/1/1</t>
  </si>
  <si>
    <t xml:space="preserve">6/1/2</t>
  </si>
  <si>
    <t xml:space="preserve">6/1/3</t>
  </si>
  <si>
    <t xml:space="preserve">6/1/4</t>
  </si>
  <si>
    <t xml:space="preserve">6/1/5</t>
  </si>
  <si>
    <t xml:space="preserve">6/1/6</t>
  </si>
  <si>
    <t xml:space="preserve">6/1/7</t>
  </si>
  <si>
    <t xml:space="preserve">6/1/8</t>
  </si>
  <si>
    <t xml:space="preserve">6/1/9</t>
  </si>
  <si>
    <t xml:space="preserve">6/1/10</t>
  </si>
  <si>
    <t xml:space="preserve">6/1/11</t>
  </si>
  <si>
    <t xml:space="preserve">6/1/12</t>
  </si>
  <si>
    <t xml:space="preserve">6/1/13</t>
  </si>
  <si>
    <t xml:space="preserve">6/1/14</t>
  </si>
  <si>
    <t xml:space="preserve">6/1/15</t>
  </si>
  <si>
    <t xml:space="preserve">6/1/17</t>
  </si>
  <si>
    <t xml:space="preserve">6/1/18</t>
  </si>
  <si>
    <t xml:space="preserve">6/1/19</t>
  </si>
  <si>
    <t xml:space="preserve">6/1/21</t>
  </si>
  <si>
    <t xml:space="preserve">6/1/23</t>
  </si>
  <si>
    <t xml:space="preserve">6/1/25</t>
  </si>
  <si>
    <t xml:space="preserve">6/1/29</t>
  </si>
  <si>
    <t xml:space="preserve">6/1/30</t>
  </si>
  <si>
    <t xml:space="preserve">6/1/32</t>
  </si>
  <si>
    <t xml:space="preserve">6/1/33</t>
  </si>
  <si>
    <t xml:space="preserve">6/1/36</t>
  </si>
  <si>
    <t xml:space="preserve">6/1/37</t>
  </si>
  <si>
    <t xml:space="preserve">6/1/42</t>
  </si>
  <si>
    <t xml:space="preserve">6/1/43</t>
  </si>
  <si>
    <t xml:space="preserve">6/1/44</t>
  </si>
  <si>
    <t xml:space="preserve">6/1/47</t>
  </si>
  <si>
    <t xml:space="preserve">6/1/48</t>
  </si>
  <si>
    <t xml:space="preserve">7/1/2</t>
  </si>
  <si>
    <t xml:space="preserve">7/1/6</t>
  </si>
  <si>
    <t xml:space="preserve">7/1/7</t>
  </si>
  <si>
    <t xml:space="preserve">7/1/12</t>
  </si>
  <si>
    <t xml:space="preserve">7/1/13</t>
  </si>
  <si>
    <t xml:space="preserve">7/1/15</t>
  </si>
  <si>
    <t xml:space="preserve">7/1/16</t>
  </si>
  <si>
    <t xml:space="preserve">7/1/18</t>
  </si>
  <si>
    <t xml:space="preserve">7/1/20</t>
  </si>
  <si>
    <t xml:space="preserve">7/1/21</t>
  </si>
  <si>
    <t xml:space="preserve">7/1/25</t>
  </si>
  <si>
    <t xml:space="preserve">7/1/26</t>
  </si>
  <si>
    <t xml:space="preserve">7/1/29</t>
  </si>
  <si>
    <t xml:space="preserve">7/1/36</t>
  </si>
  <si>
    <t xml:space="preserve">7/1/37</t>
  </si>
  <si>
    <t xml:space="preserve">7/1/38</t>
  </si>
  <si>
    <t xml:space="preserve">7/1/39</t>
  </si>
  <si>
    <t xml:space="preserve">7/1/41</t>
  </si>
  <si>
    <t xml:space="preserve">7/1/42</t>
  </si>
  <si>
    <t xml:space="preserve">7/1/43</t>
  </si>
  <si>
    <t xml:space="preserve">7/1/45</t>
  </si>
  <si>
    <t xml:space="preserve">7/1/46</t>
  </si>
  <si>
    <t xml:space="preserve">7/1/47</t>
  </si>
  <si>
    <t xml:space="preserve">7/1/48</t>
  </si>
  <si>
    <t xml:space="preserve">Summary</t>
  </si>
  <si>
    <t xml:space="preserve">Total</t>
  </si>
  <si>
    <t xml:space="preserve">Light orange = link up (device connected). Dark orange = port has a device in the device list but is still on an old VLAN.</t>
  </si>
  <si>
    <t xml:space="preserve">Master row</t>
  </si>
  <si>
    <t xml:space="preserve">Type</t>
  </si>
  <si>
    <t xml:space="preserve">Device</t>
  </si>
  <si>
    <t xml:space="preserve">MAC</t>
  </si>
  <si>
    <t xml:space="preserve">Switch name</t>
  </si>
  <si>
    <t xml:space="preserve">New VLAN</t>
  </si>
  <si>
    <t xml:space="preserve">Status</t>
  </si>
  <si>
    <t xml:space="preserve">Port source</t>
  </si>
  <si>
    <t xml:space="preserve">AP</t>
  </si>
  <si>
    <t xml:space="preserve">r650-39-49-a0</t>
  </si>
  <si>
    <t xml:space="preserve">C8:A6:08:39:49:A0</t>
  </si>
  <si>
    <t xml:space="preserve">2010 (VL-wifimgmt-01)</t>
  </si>
  <si>
    <t xml:space="preserve">Master list</t>
  </si>
  <si>
    <t xml:space="preserve">AV</t>
  </si>
  <si>
    <t xml:space="preserve">Pro convert for NDI to HDMI</t>
  </si>
  <si>
    <t xml:space="preserve">D0:C8:57:81:64:24</t>
  </si>
  <si>
    <t xml:space="preserve">Airtame</t>
  </si>
  <si>
    <t xml:space="preserve">38:4b:76:f1:8f:ec</t>
  </si>
  <si>
    <t xml:space="preserve">1272 (200V_w_wifi)</t>
  </si>
  <si>
    <t xml:space="preserve">PDU</t>
  </si>
  <si>
    <t xml:space="preserve">B8-80-4F-28-58-24</t>
  </si>
  <si>
    <t xml:space="preserve">Matched from 200V tab</t>
  </si>
  <si>
    <t xml:space="preserve">Recorder</t>
  </si>
  <si>
    <t xml:space="preserve">00-1C-08-00-6C-7C</t>
  </si>
  <si>
    <t xml:space="preserve">Audio DSP</t>
  </si>
  <si>
    <t xml:space="preserve">78-45-01-0C-7D-3A</t>
  </si>
  <si>
    <t xml:space="preserve">LCD 2</t>
  </si>
  <si>
    <t xml:space="preserve">A8-4A-63-30-73-66</t>
  </si>
  <si>
    <t xml:space="preserve">LCD 1</t>
  </si>
  <si>
    <t xml:space="preserve">A8-4A-63-30-73-67</t>
  </si>
  <si>
    <t xml:space="preserve">PTZ Camera</t>
  </si>
  <si>
    <t xml:space="preserve">DC-E2-AC-02-E4-F5</t>
  </si>
  <si>
    <t xml:space="preserve">Room Camera</t>
  </si>
  <si>
    <t xml:space="preserve">B8-A4-4F-69-B2-72</t>
  </si>
  <si>
    <t xml:space="preserve">Occupancy Sensor</t>
  </si>
  <si>
    <t xml:space="preserve">B8-98-B0-0F-1C-66</t>
  </si>
  <si>
    <t xml:space="preserve">Projector Screen 2</t>
  </si>
  <si>
    <t xml:space="preserve">04-91-62-D7-70-0D</t>
  </si>
  <si>
    <t xml:space="preserve">Projector Screen 1</t>
  </si>
  <si>
    <t xml:space="preserve">54-10-EC-A2-E8-27</t>
  </si>
  <si>
    <t xml:space="preserve">Projector 1</t>
  </si>
  <si>
    <t xml:space="preserve">38-1A-52-B1-75-B6</t>
  </si>
  <si>
    <t xml:space="preserve">Projector 2</t>
  </si>
  <si>
    <t xml:space="preserve">38-1A-52-B1-74-BA</t>
  </si>
  <si>
    <t xml:space="preserve">Touch Panel</t>
  </si>
  <si>
    <t xml:space="preserve">C4-42-68-26-D6-48</t>
  </si>
  <si>
    <t xml:space="preserve">B8:A4:4F:68:F4:EE</t>
  </si>
  <si>
    <t xml:space="preserve">B8:98:B0:0F:1C:5B</t>
  </si>
  <si>
    <t xml:space="preserve">Room NUC</t>
  </si>
  <si>
    <t xml:space="preserve">48:21:0B:56:AE:3A</t>
  </si>
  <si>
    <t xml:space="preserve">C4:42:68:38:BB:80</t>
  </si>
  <si>
    <t xml:space="preserve">38:4b:76:f1:89:5a</t>
  </si>
  <si>
    <t xml:space="preserve">B8:80:4F:28:58:2D</t>
  </si>
  <si>
    <t xml:space="preserve">r650-19-9d-00</t>
  </si>
  <si>
    <t xml:space="preserve">C8:A6:08:19:9D:00</t>
  </si>
  <si>
    <t xml:space="preserve">r650-19-9d-70</t>
  </si>
  <si>
    <t xml:space="preserve">C8:A6:08:19:9D:70</t>
  </si>
  <si>
    <t xml:space="preserve">r650-19-9d-50</t>
  </si>
  <si>
    <t xml:space="preserve">C8:A6:08:19:9D:50</t>
  </si>
  <si>
    <t xml:space="preserve">r650-19-9d-40</t>
  </si>
  <si>
    <t xml:space="preserve">C8:A6:08:19:9D:40</t>
  </si>
  <si>
    <t xml:space="preserve">r650-19-9d-80</t>
  </si>
  <si>
    <t xml:space="preserve">C8:A6:08:19:9D:80</t>
  </si>
  <si>
    <t xml:space="preserve">r650-3d-98-40</t>
  </si>
  <si>
    <t xml:space="preserve">5C:83:6C:3D:98:40</t>
  </si>
  <si>
    <t xml:space="preserve">Done (pilot)</t>
  </si>
  <si>
    <t xml:space="preserve">r650-32-68-f0</t>
  </si>
  <si>
    <t xml:space="preserve">CC:1B:5A:32:68:F0</t>
  </si>
  <si>
    <t xml:space="preserve">r650-32-61-e0</t>
  </si>
  <si>
    <t xml:space="preserve">CC:1B:5A:32:61:E0</t>
  </si>
  <si>
    <t xml:space="preserve">r650-3d-98-50</t>
  </si>
  <si>
    <t xml:space="preserve">5C:83:6C:3D:98:50</t>
  </si>
  <si>
    <t xml:space="preserve">r650-19-9d-a0</t>
  </si>
  <si>
    <t xml:space="preserve">C8:A6:08:19:9D:A0</t>
  </si>
  <si>
    <t xml:space="preserve">r650-19-9d-60</t>
  </si>
  <si>
    <t xml:space="preserve">C8:A6:08:19:9D:60</t>
  </si>
  <si>
    <t xml:space="preserve">C4:42:68:60:C1:B6</t>
  </si>
  <si>
    <t xml:space="preserve">B8:A4:4F:CB:CB:F7</t>
  </si>
  <si>
    <t xml:space="preserve">C4:42:68:65:7E:7F</t>
  </si>
  <si>
    <t xml:space="preserve">C4:42:68:6C:42:DC</t>
  </si>
  <si>
    <t xml:space="preserve">B8:A4:4F:CB:C6:FB</t>
  </si>
  <si>
    <t xml:space="preserve">C4:42:68:65:8E:04</t>
  </si>
  <si>
    <t xml:space="preserve">C4:42:68:6C:44:8E</t>
  </si>
  <si>
    <t xml:space="preserve">1/1/19</t>
  </si>
  <si>
    <t xml:space="preserve">B8:A4:4F:CE:F4:C6</t>
  </si>
  <si>
    <t xml:space="preserve">C4:42:68:65:7D:A0</t>
  </si>
  <si>
    <t xml:space="preserve">C4:42:68:6D:2B:F1</t>
  </si>
  <si>
    <t xml:space="preserve">1/1/22</t>
  </si>
  <si>
    <t xml:space="preserve">C4:42:68:6D:C3:79</t>
  </si>
  <si>
    <t xml:space="preserve">1/1/23</t>
  </si>
  <si>
    <t xml:space="preserve">C4:42:68:65:91:9B</t>
  </si>
  <si>
    <t xml:space="preserve">1/1/24</t>
  </si>
  <si>
    <t xml:space="preserve">B8:A4:4F:CE:E5:EB</t>
  </si>
  <si>
    <t xml:space="preserve">1/1/25</t>
  </si>
  <si>
    <t xml:space="preserve">B8:A4:4F:CB:CA:CC</t>
  </si>
  <si>
    <t xml:space="preserve">1/1/26</t>
  </si>
  <si>
    <t xml:space="preserve">C4:42:68:65:95:E7</t>
  </si>
  <si>
    <t xml:space="preserve">1/1/27</t>
  </si>
  <si>
    <t xml:space="preserve">C4:42:68:6D:C3:9E</t>
  </si>
  <si>
    <t xml:space="preserve">C4:42:68:6D:C3:AB</t>
  </si>
  <si>
    <t xml:space="preserve">1/1/29</t>
  </si>
  <si>
    <t xml:space="preserve">C4:42:68:65:8F:C4</t>
  </si>
  <si>
    <t xml:space="preserve">B8:A4:4F:CE:E4:99</t>
  </si>
  <si>
    <t xml:space="preserve">B8:A4:4F:CB:C8:54</t>
  </si>
  <si>
    <t xml:space="preserve">C4:42:68:65:91:74</t>
  </si>
  <si>
    <t xml:space="preserve">Keypad for Room-In-Use light</t>
  </si>
  <si>
    <t xml:space="preserve">C4:42:68:1C:22:3B</t>
  </si>
  <si>
    <t xml:space="preserve">C4:42:68:46:A3:3F</t>
  </si>
  <si>
    <t xml:space="preserve">cctv</t>
  </si>
  <si>
    <t xml:space="preserve">cam-200v-AE-D7-1B.trinity.unimelb.edu.au</t>
  </si>
  <si>
    <t xml:space="preserve">00:02:d1:ae:d7:1b</t>
  </si>
  <si>
    <t xml:space="preserve">2/1/1</t>
  </si>
  <si>
    <t xml:space="preserve">cam-200v-AE-D7-3A.trinity.unimelb.edu.au</t>
  </si>
  <si>
    <t xml:space="preserve">00:02:d1:ae:d7:3a</t>
  </si>
  <si>
    <t xml:space="preserve">2/1/2</t>
  </si>
  <si>
    <t xml:space="preserve">cam-200v-ae-d6-f4.trinity.unimelb.edu.au</t>
  </si>
  <si>
    <t xml:space="preserve">00:02:d1:ae:d6:f4</t>
  </si>
  <si>
    <t xml:space="preserve">2/1/3</t>
  </si>
  <si>
    <t xml:space="preserve">cam-200v-AE-D6-F7.trinity.unimelb.edu.au</t>
  </si>
  <si>
    <t xml:space="preserve">00:02:d1:ae:d6:f7</t>
  </si>
  <si>
    <t xml:space="preserve">cam-200v-AE-D7-0A.trinity.unimelb.edu.au</t>
  </si>
  <si>
    <t xml:space="preserve">00:02:d1:ae:d7:0a</t>
  </si>
  <si>
    <t xml:space="preserve">cam-200v-AE-D6-ED.trinity.unimelb.edu.au</t>
  </si>
  <si>
    <t xml:space="preserve">00:02:d1:ae:d6:ed</t>
  </si>
  <si>
    <t xml:space="preserve">cam-200v-AE-D7-01.trinity.unimelb.edu.au</t>
  </si>
  <si>
    <t xml:space="preserve">00:02:d1:ae:d7:01</t>
  </si>
  <si>
    <t xml:space="preserve">Projector</t>
  </si>
  <si>
    <t xml:space="preserve">F8:25:51:D2:70:8E</t>
  </si>
  <si>
    <t xml:space="preserve">C4:42:68:6D:BF:ED</t>
  </si>
  <si>
    <t xml:space="preserve">2/1/15</t>
  </si>
  <si>
    <t xml:space="preserve">38:4B:76:F1:83:52</t>
  </si>
  <si>
    <t xml:space="preserve">28:B5:E8:6F:27:18</t>
  </si>
  <si>
    <t xml:space="preserve">2/1/19</t>
  </si>
  <si>
    <t xml:space="preserve">AV Switcher</t>
  </si>
  <si>
    <t xml:space="preserve">C4:42:68:65:35:E8</t>
  </si>
  <si>
    <t xml:space="preserve">B8:A4:4F:CB:C5:56</t>
  </si>
  <si>
    <t xml:space="preserve">C4:42:68:65:87:C4</t>
  </si>
  <si>
    <t xml:space="preserve">2/1/22</t>
  </si>
  <si>
    <t xml:space="preserve">F8:25:51:CC:0F:7D</t>
  </si>
  <si>
    <t xml:space="preserve">2/1/23</t>
  </si>
  <si>
    <t xml:space="preserve">28:B5:E8:6F:CB:2E</t>
  </si>
  <si>
    <t xml:space="preserve">2/1/25</t>
  </si>
  <si>
    <t xml:space="preserve">C4:42:68:6D:C3:9C</t>
  </si>
  <si>
    <t xml:space="preserve">2/1/26</t>
  </si>
  <si>
    <t xml:space="preserve">C4:42:68:65:39:D8</t>
  </si>
  <si>
    <t xml:space="preserve">2/1/28</t>
  </si>
  <si>
    <t xml:space="preserve">38:4B:76:F1:83:51</t>
  </si>
  <si>
    <t xml:space="preserve">2/1/30</t>
  </si>
  <si>
    <t xml:space="preserve">LCD</t>
  </si>
  <si>
    <t xml:space="preserve">F8:01:B4:53:86:B8</t>
  </si>
  <si>
    <t xml:space="preserve">2/1/31</t>
  </si>
  <si>
    <t xml:space="preserve">C4:42:68:59:A4:45</t>
  </si>
  <si>
    <t xml:space="preserve">2/1/32</t>
  </si>
  <si>
    <t xml:space="preserve">38:4B:76:F1:95:78</t>
  </si>
  <si>
    <t xml:space="preserve">2/1/33</t>
  </si>
  <si>
    <t xml:space="preserve">DC:E2:AC:02:E8:CA</t>
  </si>
  <si>
    <t xml:space="preserve">2/1/35</t>
  </si>
  <si>
    <t xml:space="preserve">Mic Charger</t>
  </si>
  <si>
    <t xml:space="preserve">00:1B:66:3F:15:17</t>
  </si>
  <si>
    <t xml:space="preserve">2/1/36</t>
  </si>
  <si>
    <t xml:space="preserve">00:1C:08:00:70:A3</t>
  </si>
  <si>
    <t xml:space="preserve">2/1/37</t>
  </si>
  <si>
    <t xml:space="preserve">D0:C8:57:80:9F:8E</t>
  </si>
  <si>
    <t xml:space="preserve">2/1/38</t>
  </si>
  <si>
    <t xml:space="preserve">C4:42:68:46:82:ED</t>
  </si>
  <si>
    <t xml:space="preserve">2/1/39</t>
  </si>
  <si>
    <t xml:space="preserve">Cresnet Bridge For Outside Sign</t>
  </si>
  <si>
    <t xml:space="preserve">C4:42:68:5D:43:1D</t>
  </si>
  <si>
    <t xml:space="preserve">2/1/40</t>
  </si>
  <si>
    <t xml:space="preserve">printer</t>
  </si>
  <si>
    <t xml:space="preserve">200v-lvl3-student-corridor</t>
  </si>
  <si>
    <t xml:space="preserve">DC:C2:C9:76:56:67</t>
  </si>
  <si>
    <t xml:space="preserve">2800 (VL-print-01)</t>
  </si>
  <si>
    <t xml:space="preserve">200v-lvl3-staffroom</t>
  </si>
  <si>
    <t xml:space="preserve">34:9F:7B:5E:9A:04</t>
  </si>
  <si>
    <t xml:space="preserve">4/1/4</t>
  </si>
  <si>
    <t xml:space="preserve">C4:42:68:65:29:8D</t>
  </si>
  <si>
    <t xml:space="preserve">4/1/40</t>
  </si>
  <si>
    <t xml:space="preserve">28:B5:E8:68:78:AF</t>
  </si>
  <si>
    <t xml:space="preserve">4/1/42</t>
  </si>
  <si>
    <t xml:space="preserve">F8:25:51:D2:70:8A</t>
  </si>
  <si>
    <t xml:space="preserve">8C:AE:4C:D2:7C:B8</t>
  </si>
  <si>
    <t xml:space="preserve">4/1/47</t>
  </si>
  <si>
    <t xml:space="preserve">28:B5:E8:6F:33:1E</t>
  </si>
  <si>
    <t xml:space="preserve">4/1/48</t>
  </si>
  <si>
    <t xml:space="preserve">74:C1:7E:EC:3D:90</t>
  </si>
  <si>
    <t xml:space="preserve">UC Engine</t>
  </si>
  <si>
    <t xml:space="preserve">90:8D:6E:95:8E:ED</t>
  </si>
  <si>
    <t xml:space="preserve">38:4B:76:F1:AB:19</t>
  </si>
  <si>
    <t xml:space="preserve">Display</t>
  </si>
  <si>
    <t xml:space="preserve">28:E6:A9:8D:5A:69</t>
  </si>
  <si>
    <t xml:space="preserve">8C:AE:4C:D2:7C:BC</t>
  </si>
  <si>
    <t xml:space="preserve">C4:42:68:65:3F:BD</t>
  </si>
  <si>
    <t xml:space="preserve">F8:25:51:CD:3F:DA</t>
  </si>
  <si>
    <t xml:space="preserve">F8:25:51:CF:D3:D8</t>
  </si>
  <si>
    <t xml:space="preserve">28:B5:E8:6F:CB:5E</t>
  </si>
  <si>
    <t xml:space="preserve">8C:AE:4C:D2:7C:D8</t>
  </si>
  <si>
    <t xml:space="preserve">F8:25:51:D2:70:34</t>
  </si>
  <si>
    <t xml:space="preserve">38:4B:76:F1:95:77</t>
  </si>
  <si>
    <t xml:space="preserve">28:B5:E8:68:7E:2B</t>
  </si>
  <si>
    <t xml:space="preserve">C4:42:68:65:3F:74</t>
  </si>
  <si>
    <t xml:space="preserve">38:4B:76:F1:95:75</t>
  </si>
  <si>
    <t xml:space="preserve">28:B5:E8:6F:4A:58</t>
  </si>
  <si>
    <t xml:space="preserve">C4:42:68:65:3F:93</t>
  </si>
  <si>
    <t xml:space="preserve">F8:25:51:CD:3F:E4</t>
  </si>
  <si>
    <t xml:space="preserve">28:E6:A9:8D:5A:60</t>
  </si>
  <si>
    <t xml:space="preserve">C4:42:68:65:38:8A</t>
  </si>
  <si>
    <t xml:space="preserve">F8:25:51:D2:70:90</t>
  </si>
  <si>
    <t xml:space="preserve">5/1/42</t>
  </si>
  <si>
    <t xml:space="preserve">28:B5:E8:6F:D1:0D</t>
  </si>
  <si>
    <t xml:space="preserve">8C:AE:4C:D2:00:95</t>
  </si>
  <si>
    <t xml:space="preserve">C4:42:68:65:2F:04</t>
  </si>
  <si>
    <t xml:space="preserve">r650-3d-bf-30</t>
  </si>
  <si>
    <t xml:space="preserve">5C:83:6C:3D:BF:30</t>
  </si>
  <si>
    <t xml:space="preserve">r650-19-9c-c0</t>
  </si>
  <si>
    <t xml:space="preserve">C8:A6:08:19:9C:C0</t>
  </si>
  <si>
    <t xml:space="preserve">r650-19-9c-a0</t>
  </si>
  <si>
    <t xml:space="preserve">C8:A6:08:19:9C:A0</t>
  </si>
  <si>
    <t xml:space="preserve">r650-3d-4c-80</t>
  </si>
  <si>
    <t xml:space="preserve">5C:83:6C:3D:4C:80</t>
  </si>
  <si>
    <t xml:space="preserve">r650-19-9c-90</t>
  </si>
  <si>
    <t xml:space="preserve">C8:A6:08:19:9C:90</t>
  </si>
  <si>
    <t xml:space="preserve">r650-19-9c-80</t>
  </si>
  <si>
    <t xml:space="preserve">C8:A6:08:19:9C:80</t>
  </si>
  <si>
    <t xml:space="preserve">r650-19-9b-90</t>
  </si>
  <si>
    <t xml:space="preserve">C8:A6:08:19:9B:90</t>
  </si>
  <si>
    <t xml:space="preserve">r650-19-9c-70</t>
  </si>
  <si>
    <t xml:space="preserve">C8:A6:08:19:9C:70</t>
  </si>
  <si>
    <t xml:space="preserve">r650-3d-be-c0</t>
  </si>
  <si>
    <t xml:space="preserve">5C:83:6C:3D:BE:C0</t>
  </si>
  <si>
    <t xml:space="preserve">r650-32-66-a0</t>
  </si>
  <si>
    <t xml:space="preserve">CC:1B:5A:32:66:A0</t>
  </si>
  <si>
    <t xml:space="preserve">200v-lvl4-staffroom</t>
  </si>
  <si>
    <t xml:space="preserve">34:9F:7B:5F:D4:1E</t>
  </si>
  <si>
    <t xml:space="preserve">28:B5:E8:6F:CB:73</t>
  </si>
  <si>
    <t xml:space="preserve">C4:42:68:6D:2B:79</t>
  </si>
  <si>
    <t xml:space="preserve">F8:25:51:CD:3F:E3</t>
  </si>
  <si>
    <t xml:space="preserve">C4:42:68:65:91:53</t>
  </si>
  <si>
    <t xml:space="preserve">38:4B:76:F1:A3:28</t>
  </si>
  <si>
    <t xml:space="preserve">F8:25:51:CF:D4:66</t>
  </si>
  <si>
    <t xml:space="preserve">C4:42:68:6C:2D:D7</t>
  </si>
  <si>
    <t xml:space="preserve">38:4B:76:F1:A1:72</t>
  </si>
  <si>
    <t xml:space="preserve">28:B5:E8:68:78:FD</t>
  </si>
  <si>
    <t xml:space="preserve">B8:A4:4F:CB:C5:7C</t>
  </si>
  <si>
    <t xml:space="preserve">C4:42:68:65:68:A6</t>
  </si>
  <si>
    <t xml:space="preserve">38:4B:76:F1:83:57</t>
  </si>
  <si>
    <t xml:space="preserve">F8:25:51:CC:0F:80</t>
  </si>
  <si>
    <t xml:space="preserve">C4:42:68:6D:2C:10</t>
  </si>
  <si>
    <t xml:space="preserve">B8:A4:4F:CB:D2:17</t>
  </si>
  <si>
    <t xml:space="preserve">Projector Screen Right</t>
  </si>
  <si>
    <t xml:space="preserve">80:1F:12:4E:EB:71</t>
  </si>
  <si>
    <t xml:space="preserve">Pro Convert for NDI to HDMI</t>
  </si>
  <si>
    <t xml:space="preserve">D0:C8:57:80:AA:C1</t>
  </si>
  <si>
    <t xml:space="preserve">1/1/37</t>
  </si>
  <si>
    <t xml:space="preserve">C4:42:68:6D:30:08</t>
  </si>
  <si>
    <t xml:space="preserve">1/1/38</t>
  </si>
  <si>
    <t xml:space="preserve">C4:42:68:6C:40:90</t>
  </si>
  <si>
    <t xml:space="preserve">1/1/39</t>
  </si>
  <si>
    <t xml:space="preserve">C4:42:68:6C:35:04</t>
  </si>
  <si>
    <t xml:space="preserve">1/1/40</t>
  </si>
  <si>
    <t xml:space="preserve">C4:42:68:6C:42:6B</t>
  </si>
  <si>
    <t xml:space="preserve">C4:42:68:59:EB:95</t>
  </si>
  <si>
    <t xml:space="preserve">D0:C8:57:82:8B:22</t>
  </si>
  <si>
    <t xml:space="preserve">DC:E2:AC:02:EC:B8</t>
  </si>
  <si>
    <t xml:space="preserve">cam-200v-ae-d7-00.trinity.unimelb.edu.au</t>
  </si>
  <si>
    <t xml:space="preserve">00:02:d1:ae:d7:00</t>
  </si>
  <si>
    <t xml:space="preserve">cam-200v-ae-d7-09.trinity.unimelb.edu.au</t>
  </si>
  <si>
    <t xml:space="preserve">00:02:d1:ae:d7:09</t>
  </si>
  <si>
    <t xml:space="preserve">cam-200v-AE-D6-FF.trinity.unimelb.edu.au</t>
  </si>
  <si>
    <t xml:space="preserve">00:02:d1:ae:d6:ff</t>
  </si>
  <si>
    <t xml:space="preserve">cam-200v-AE-D6-F6.trinity.unimelb.edu.au</t>
  </si>
  <si>
    <t xml:space="preserve">00:02:d1:ae:d6:f6</t>
  </si>
  <si>
    <t xml:space="preserve">cam-200v-AE-D6-F5.trinity.unimelb.edu.au</t>
  </si>
  <si>
    <t xml:space="preserve">00:02:d1:ae:d6:f5</t>
  </si>
  <si>
    <t xml:space="preserve">cam-200v-AE-D6-F9.trinity.unimelb.edu.au</t>
  </si>
  <si>
    <t xml:space="preserve">00:02:d1:ae:d6:f9</t>
  </si>
  <si>
    <t xml:space="preserve">cam-200v-AE-D6-F8.trinity.unimelb.edu.au</t>
  </si>
  <si>
    <t xml:space="preserve">00:02:d1:ae:d6:f8</t>
  </si>
  <si>
    <t xml:space="preserve">Wireless Mic Receiver</t>
  </si>
  <si>
    <t xml:space="preserve">00:1B:66:39:93:93</t>
  </si>
  <si>
    <t xml:space="preserve">38:4B:76:F1:4D:F1</t>
  </si>
  <si>
    <t xml:space="preserve">Projector Screen</t>
  </si>
  <si>
    <t xml:space="preserve">80:34:28:14:46:0C</t>
  </si>
  <si>
    <t xml:space="preserve">C4:42:68:6C:43:F3</t>
  </si>
  <si>
    <t xml:space="preserve">98:89:24:0D:AF:FA</t>
  </si>
  <si>
    <t xml:space="preserve">2/1/17</t>
  </si>
  <si>
    <t xml:space="preserve">C4:42:68:65:8F:7B</t>
  </si>
  <si>
    <t xml:space="preserve">38:4B:76:F1:9F:90</t>
  </si>
  <si>
    <t xml:space="preserve">C4:42:68:65:95:96</t>
  </si>
  <si>
    <t xml:space="preserve">38:4B:76:F1:A2:70</t>
  </si>
  <si>
    <t xml:space="preserve">C4:42:68:3E:0A:00</t>
  </si>
  <si>
    <t xml:space="preserve">C4:42:68:65:96:20</t>
  </si>
  <si>
    <t xml:space="preserve">C4:42:68:5D:50:D2</t>
  </si>
  <si>
    <t xml:space="preserve">00:1D:56:0A:8E:47</t>
  </si>
  <si>
    <t xml:space="preserve">C4:42:68:65:38:D6</t>
  </si>
  <si>
    <t xml:space="preserve">78:45:01:1A:93:AF</t>
  </si>
  <si>
    <t xml:space="preserve">B8:A4:4F:CB:C4:3D</t>
  </si>
  <si>
    <t xml:space="preserve">C4:42:68:65:91:9A</t>
  </si>
  <si>
    <t xml:space="preserve">B8:A4:4F:CE:F3:7D</t>
  </si>
  <si>
    <t xml:space="preserve">C4:42:68:65:91:85</t>
  </si>
  <si>
    <t xml:space="preserve">B8:A4:4F:CB:CA:ED</t>
  </si>
  <si>
    <t xml:space="preserve">C4:42:68:65:5A:42</t>
  </si>
  <si>
    <t xml:space="preserve">B8:A4:4F:CE:EB:E4</t>
  </si>
  <si>
    <t xml:space="preserve">C4:42:68:65:91:77</t>
  </si>
  <si>
    <t xml:space="preserve">B8:A4:4F:CE:F1:43</t>
  </si>
  <si>
    <t xml:space="preserve">2/1/41</t>
  </si>
  <si>
    <t xml:space="preserve">B8:A4:4F:CE:EF:42</t>
  </si>
  <si>
    <t xml:space="preserve">2/1/42</t>
  </si>
  <si>
    <t xml:space="preserve">B8:A4:4F:CE:EA:58</t>
  </si>
  <si>
    <t xml:space="preserve">2/1/43</t>
  </si>
  <si>
    <t xml:space="preserve">C4:42:68:65:91:8B</t>
  </si>
  <si>
    <t xml:space="preserve">2/1/44</t>
  </si>
  <si>
    <t xml:space="preserve">B8:A4:4F:CB:CA:0C</t>
  </si>
  <si>
    <t xml:space="preserve">2/1/45</t>
  </si>
  <si>
    <t xml:space="preserve">C4:42:68:6D:2F:E4</t>
  </si>
  <si>
    <t xml:space="preserve">C4:42:68:65:3F:79</t>
  </si>
  <si>
    <t xml:space="preserve">C4:42:68:65:95:E0</t>
  </si>
  <si>
    <t xml:space="preserve">00:1B:66:3F:0D:8B</t>
  </si>
  <si>
    <t xml:space="preserve">PDU 1</t>
  </si>
  <si>
    <t xml:space="preserve">28:B5:E8:6F:27:66</t>
  </si>
  <si>
    <t xml:space="preserve">4/1/5</t>
  </si>
  <si>
    <t xml:space="preserve">LCD Left</t>
  </si>
  <si>
    <t xml:space="preserve">F8:01:B4:AE:DF:9E</t>
  </si>
  <si>
    <t xml:space="preserve">4/1/8</t>
  </si>
  <si>
    <t xml:space="preserve">DC:E2:AC:02:EC:9D</t>
  </si>
  <si>
    <t xml:space="preserve">28:B5:E8:6F:4F:DA</t>
  </si>
  <si>
    <t xml:space="preserve">4/1/11</t>
  </si>
  <si>
    <t xml:space="preserve">74:C1:7E:33:03:7A</t>
  </si>
  <si>
    <t xml:space="preserve">4/1/12</t>
  </si>
  <si>
    <t xml:space="preserve">Projector Left</t>
  </si>
  <si>
    <t xml:space="preserve">38:1A:52:B2:00:B8</t>
  </si>
  <si>
    <t xml:space="preserve">4/1/15</t>
  </si>
  <si>
    <t xml:space="preserve">F8:25:51:D2:70:36</t>
  </si>
  <si>
    <t xml:space="preserve">4/1/18</t>
  </si>
  <si>
    <t xml:space="preserve">F8:25:51:CD:40:32</t>
  </si>
  <si>
    <t xml:space="preserve">4/1/22</t>
  </si>
  <si>
    <t xml:space="preserve">28:B5:E8:6F:CB:40</t>
  </si>
  <si>
    <t xml:space="preserve">C4:42:68:65:31:AC</t>
  </si>
  <si>
    <t xml:space="preserve">LCD Right</t>
  </si>
  <si>
    <t xml:space="preserve">F8:01:B4:60:4C:AB</t>
  </si>
  <si>
    <t xml:space="preserve">4/1/37</t>
  </si>
  <si>
    <t xml:space="preserve">Projector Screen Left</t>
  </si>
  <si>
    <t xml:space="preserve">80:34:28:5C:F1:F2</t>
  </si>
  <si>
    <t xml:space="preserve">00:1C:08:00:70:2D</t>
  </si>
  <si>
    <t xml:space="preserve">PDU 2</t>
  </si>
  <si>
    <t xml:space="preserve">28:B5:E8:6F:61:FB</t>
  </si>
  <si>
    <t xml:space="preserve">4/1/43</t>
  </si>
  <si>
    <t xml:space="preserve">F8:25:51:CD:3F:E0</t>
  </si>
  <si>
    <t xml:space="preserve">28:B5:E8:68:81:A6</t>
  </si>
  <si>
    <t xml:space="preserve">38:4B:76:F1:A1:45</t>
  </si>
  <si>
    <t xml:space="preserve">C4:42:68:65:39:C6</t>
  </si>
  <si>
    <t xml:space="preserve">28:B5:E8:6F:CB:46</t>
  </si>
  <si>
    <t xml:space="preserve">C4:42:68:65:3A:3F</t>
  </si>
  <si>
    <t xml:space="preserve">C4:42:68:65:37:38</t>
  </si>
  <si>
    <t xml:space="preserve">28:B5:E8:68:7E:6D</t>
  </si>
  <si>
    <t xml:space="preserve">F8:25:51:CF:D3:D9</t>
  </si>
  <si>
    <t xml:space="preserve">F8:01:B4:53:86:9A</t>
  </si>
  <si>
    <t xml:space="preserve">28:B5:E8:6F:27:3F</t>
  </si>
  <si>
    <t xml:space="preserve">38:4B:76:F1:92:CF</t>
  </si>
  <si>
    <t xml:space="preserve">38:4B:76:F1:A1:73</t>
  </si>
  <si>
    <t xml:space="preserve">C4:42:68:65:3F:D0</t>
  </si>
  <si>
    <t xml:space="preserve">5/1/34</t>
  </si>
  <si>
    <t xml:space="preserve">28:E6:A9:8D:5A:73</t>
  </si>
  <si>
    <t xml:space="preserve">Projector Right</t>
  </si>
  <si>
    <t xml:space="preserve">38:1A:52:B2:00:9F</t>
  </si>
  <si>
    <t xml:space="preserve">38:1A:52:B1:FF:B9</t>
  </si>
  <si>
    <t xml:space="preserve">00:1C:08:00:71:05</t>
  </si>
  <si>
    <t xml:space="preserve">00:1B:66:3F:15:3A</t>
  </si>
  <si>
    <t xml:space="preserve">38:4B:76:F1:95:43</t>
  </si>
  <si>
    <t xml:space="preserve">00:1B:66:39:93:95</t>
  </si>
  <si>
    <t xml:space="preserve">38:4B:76:F1:92:D2</t>
  </si>
  <si>
    <t xml:space="preserve">B8:80:4F:28:50:5F</t>
  </si>
  <si>
    <t xml:space="preserve">00:1D:56:0A:B4:A6</t>
  </si>
  <si>
    <t xml:space="preserve">78:45:01:0C:7D:CC</t>
  </si>
  <si>
    <t xml:space="preserve">r650-39-4b-d0</t>
  </si>
  <si>
    <t xml:space="preserve">C8:A6:08:39:4B:D0</t>
  </si>
  <si>
    <t xml:space="preserve">r650-39-4b-c0</t>
  </si>
  <si>
    <t xml:space="preserve">C8:A6:08:39:4B:C0</t>
  </si>
  <si>
    <t xml:space="preserve">r650-39-52-00</t>
  </si>
  <si>
    <t xml:space="preserve">C8:A6:08:39:52:00</t>
  </si>
  <si>
    <t xml:space="preserve">r650-39-51-00</t>
  </si>
  <si>
    <t xml:space="preserve">C8:A6:08:39:51:00</t>
  </si>
  <si>
    <t xml:space="preserve">r650-39-54-a0</t>
  </si>
  <si>
    <t xml:space="preserve">C8:A6:08:39:54:A0</t>
  </si>
  <si>
    <t xml:space="preserve">r650-39-4a-60</t>
  </si>
  <si>
    <t xml:space="preserve">C8:A6:08:39:4A:60</t>
  </si>
  <si>
    <t xml:space="preserve">r650-39-4b-f0</t>
  </si>
  <si>
    <t xml:space="preserve">C8:A6:08:39:4B:F0</t>
  </si>
  <si>
    <t xml:space="preserve">r650-39-5c-50</t>
  </si>
  <si>
    <t xml:space="preserve">C8:A6:08:39:5C:50</t>
  </si>
  <si>
    <t xml:space="preserve">r650-39-2d-b0</t>
  </si>
  <si>
    <t xml:space="preserve">C8:A6:08:39:2D:B0</t>
  </si>
  <si>
    <t xml:space="preserve">r650-39-35-10</t>
  </si>
  <si>
    <t xml:space="preserve">C8:A6:08:39:35:10</t>
  </si>
  <si>
    <t xml:space="preserve">r650-39-52-90</t>
  </si>
  <si>
    <t xml:space="preserve">C8:A6:08:39:52:90</t>
  </si>
  <si>
    <t xml:space="preserve">r650-39-33-f0</t>
  </si>
  <si>
    <t xml:space="preserve">C8:A6:08:39:33:F0</t>
  </si>
  <si>
    <t xml:space="preserve">r650-39-34-60</t>
  </si>
  <si>
    <t xml:space="preserve">C8:A6:08:39:34:60</t>
  </si>
  <si>
    <t xml:space="preserve">r650-39-36-80</t>
  </si>
  <si>
    <t xml:space="preserve">C8:A6:08:39:36:80</t>
  </si>
  <si>
    <t xml:space="preserve">r650-39-4c-f0</t>
  </si>
  <si>
    <t xml:space="preserve">C8:A6:08:39:4C:F0</t>
  </si>
  <si>
    <t xml:space="preserve">r650-39-51-e0</t>
  </si>
  <si>
    <t xml:space="preserve">C8:A6:08:39:51:E0</t>
  </si>
  <si>
    <t xml:space="preserve">r650-39-54-60</t>
  </si>
  <si>
    <t xml:space="preserve">C8:A6:08:39:54:60</t>
  </si>
  <si>
    <t xml:space="preserve">cam-200V2B23.trinity.unimelb.edu.au</t>
  </si>
  <si>
    <t xml:space="preserve">c0:56:e3:85:a5:61</t>
  </si>
  <si>
    <t xml:space="preserve">cam-200V2F10.trinity.unimelb.edu.au</t>
  </si>
  <si>
    <t xml:space="preserve">c0:56:e3:85:a4:d8</t>
  </si>
  <si>
    <t xml:space="preserve">cam-200V1D05.trinity.unimelb.edu.au</t>
  </si>
  <si>
    <t xml:space="preserve">c0:56:e3:85:a5:2a</t>
  </si>
  <si>
    <t xml:space="preserve">cam-200V2K14.trinity.unimelb.edu.au</t>
  </si>
  <si>
    <t xml:space="preserve">c0:56:e3:85:a5:6d</t>
  </si>
  <si>
    <t xml:space="preserve">NDI-HDMI Decoder</t>
  </si>
  <si>
    <t xml:space="preserve">D0:C8:57:81:64:1F</t>
  </si>
  <si>
    <t xml:space="preserve">B8:A4:4F:68:F5:19</t>
  </si>
  <si>
    <t xml:space="preserve">F8:25:51:CB:8C:9B</t>
  </si>
  <si>
    <t xml:space="preserve">C4:42:68:2C:3C:0A</t>
  </si>
  <si>
    <t xml:space="preserve">38:4B:76:F1:89:2C</t>
  </si>
  <si>
    <t xml:space="preserve">00:1D:56:09:CE:57</t>
  </si>
  <si>
    <t xml:space="preserve">B8:80:4F:18:2D:88</t>
  </si>
  <si>
    <t xml:space="preserve">C4:42:68:2C:3D:36</t>
  </si>
  <si>
    <t xml:space="preserve">48:21:0B:56:AE:39</t>
  </si>
  <si>
    <t xml:space="preserve">00:1D:56:0A:DF:BB</t>
  </si>
  <si>
    <t xml:space="preserve">B8:80:4F:18:1C:F0</t>
  </si>
  <si>
    <t xml:space="preserve">38:4b:76:f1:89:48</t>
  </si>
  <si>
    <t xml:space="preserve">48:21:0B:56:AC:B1</t>
  </si>
  <si>
    <t xml:space="preserve">C4:42:68:2C:3C:C0</t>
  </si>
  <si>
    <t xml:space="preserve">00:1D:56:0A:DF:C3</t>
  </si>
  <si>
    <t xml:space="preserve">B8:80:4F:28:4C:8A</t>
  </si>
  <si>
    <t xml:space="preserve">38:4b:76:f1:8f:ef</t>
  </si>
  <si>
    <t xml:space="preserve">48:21:0B:56:AA:D3</t>
  </si>
  <si>
    <t xml:space="preserve">C4:42:68:1A:48:25</t>
  </si>
  <si>
    <t xml:space="preserve">38:4b:76:f1:90:1e</t>
  </si>
  <si>
    <t xml:space="preserve">00:1D:56:0A:DF:BC</t>
  </si>
  <si>
    <t xml:space="preserve">B8:80:4F:18:31:9C</t>
  </si>
  <si>
    <t xml:space="preserve">48:21:0B:56:AB:F9</t>
  </si>
  <si>
    <t xml:space="preserve">00:1D:56:0A:DF:BA</t>
  </si>
  <si>
    <t xml:space="preserve">B8:80:4F:28:19:F6</t>
  </si>
  <si>
    <t xml:space="preserve">48:21:0B:56:AA:BC</t>
  </si>
  <si>
    <t xml:space="preserve">B8:98:B0:0F:1C:5D</t>
  </si>
  <si>
    <t xml:space="preserve">B8:A4:4F:49:4A:9B</t>
  </si>
  <si>
    <t xml:space="preserve">C4:42:68:15:2D:E5</t>
  </si>
  <si>
    <t xml:space="preserve">DC:E2:AC:02:E4:DA</t>
  </si>
  <si>
    <t xml:space="preserve">B8:98:B0:0F:1C:5F</t>
  </si>
  <si>
    <t xml:space="preserve">B8:A4:4F:68:FE:85</t>
  </si>
  <si>
    <t xml:space="preserve">C4:42:68:38:BB:41</t>
  </si>
  <si>
    <t xml:space="preserve">B8:98:B0:0F:1C:78</t>
  </si>
  <si>
    <t xml:space="preserve">B8:A4:4F:69:AB:10</t>
  </si>
  <si>
    <t xml:space="preserve">F8:25:51:CB:8C:6E</t>
  </si>
  <si>
    <t xml:space="preserve">38:1A:52:B1:75:B7</t>
  </si>
  <si>
    <t xml:space="preserve">C4:42:68:33:59:A9</t>
  </si>
  <si>
    <t xml:space="preserve">B8:98:B0:0F:1C:63</t>
  </si>
  <si>
    <t xml:space="preserve">B8:A4:4F:49:85:78</t>
  </si>
  <si>
    <t xml:space="preserve">48:21:0B:56:AE:12</t>
  </si>
  <si>
    <t xml:space="preserve">38:4b:76:f1:9a:d0</t>
  </si>
  <si>
    <t xml:space="preserve">3/1/12</t>
  </si>
  <si>
    <t xml:space="preserve">00:1D:56:0A:E0:4F</t>
  </si>
  <si>
    <t xml:space="preserve">B8:80:4F:28:58:6F</t>
  </si>
  <si>
    <t xml:space="preserve">C4:42:68:2A:71:B4</t>
  </si>
  <si>
    <t xml:space="preserve">48:21:0B:56:AA:62</t>
  </si>
  <si>
    <t xml:space="preserve">38:4b:76:f1:89:26</t>
  </si>
  <si>
    <t xml:space="preserve">C4:42:68:2C:3D:B9</t>
  </si>
  <si>
    <t xml:space="preserve">3/1/17</t>
  </si>
  <si>
    <t xml:space="preserve">00:1D:56:0A:E0:4E</t>
  </si>
  <si>
    <t xml:space="preserve">3/1/18</t>
  </si>
  <si>
    <t xml:space="preserve">B8:80:4F:18:26:32</t>
  </si>
  <si>
    <t xml:space="preserve">38:4b:76:f1:90:1c</t>
  </si>
  <si>
    <t xml:space="preserve">48:21:0B:56:98:6C</t>
  </si>
  <si>
    <t xml:space="preserve">C4:42:68:38:BB:1E</t>
  </si>
  <si>
    <t xml:space="preserve">3/1/24</t>
  </si>
  <si>
    <t xml:space="preserve">C4:42:68:1C:E2:1B</t>
  </si>
  <si>
    <t xml:space="preserve">3/1/25</t>
  </si>
  <si>
    <t xml:space="preserve">F8:25:51:CB:8C:6B</t>
  </si>
  <si>
    <t xml:space="preserve">3/1/26</t>
  </si>
  <si>
    <t xml:space="preserve">B8:A4:4F:69:B2:70</t>
  </si>
  <si>
    <t xml:space="preserve">B8:98:B0:0F:1C:73</t>
  </si>
  <si>
    <t xml:space="preserve">C4:42:68:2C:3D:5F</t>
  </si>
  <si>
    <t xml:space="preserve">B8:A4:4F:69:D0:DE</t>
  </si>
  <si>
    <t xml:space="preserve">B8:98:B0:0F:1C:5E</t>
  </si>
  <si>
    <t xml:space="preserve">C4:42:68:2A:6C:B0</t>
  </si>
  <si>
    <t xml:space="preserve">3/1/32</t>
  </si>
  <si>
    <t xml:space="preserve">B8:A4:4F:68:FE:98</t>
  </si>
  <si>
    <t xml:space="preserve">B8:98:B0:0F:1C:68</t>
  </si>
  <si>
    <t xml:space="preserve">3/1/34</t>
  </si>
  <si>
    <t xml:space="preserve">C4:42:68:2C:3C:FE</t>
  </si>
  <si>
    <t xml:space="preserve">B8:A4:4F:69:AE:62</t>
  </si>
  <si>
    <t xml:space="preserve">3/1/36</t>
  </si>
  <si>
    <t xml:space="preserve">B8:98:B0:0F:1C:6B</t>
  </si>
  <si>
    <t xml:space="preserve">B8:98:B0:0F:1C:6F</t>
  </si>
  <si>
    <t xml:space="preserve">3/1/38</t>
  </si>
  <si>
    <t xml:space="preserve">B8:A4:4F:49:82:9A</t>
  </si>
  <si>
    <t xml:space="preserve">B8:98:B0:0F:1C:75</t>
  </si>
  <si>
    <t xml:space="preserve">3/1/40</t>
  </si>
  <si>
    <t xml:space="preserve">B8:A4:4F:49:55:98</t>
  </si>
  <si>
    <t xml:space="preserve">3/1/41</t>
  </si>
  <si>
    <t xml:space="preserve">B8:98:B0:0F:1C:70</t>
  </si>
  <si>
    <t xml:space="preserve">B8:A4:4F:69:AE:77</t>
  </si>
  <si>
    <t xml:space="preserve">B8:98:B0:0F:1C:65</t>
  </si>
  <si>
    <t xml:space="preserve">3/1/44</t>
  </si>
  <si>
    <t xml:space="preserve">B8:A4:4F:69:B2:86</t>
  </si>
  <si>
    <t xml:space="preserve">B8:98:B0:0F:1C:6C</t>
  </si>
  <si>
    <t xml:space="preserve">3/1/46</t>
  </si>
  <si>
    <t xml:space="preserve">B8:A4:4F:69:D0:9F</t>
  </si>
  <si>
    <t xml:space="preserve">B8:98:B0:0F:1C:6D</t>
  </si>
  <si>
    <t xml:space="preserve">C4:42:68:38:BA:E0</t>
  </si>
  <si>
    <t xml:space="preserve">04:91:62:D7:90:01</t>
  </si>
  <si>
    <t xml:space="preserve">B8:A4:4F:69:D0:8F</t>
  </si>
  <si>
    <t xml:space="preserve">C4:42:68:2C:B4:62</t>
  </si>
  <si>
    <t xml:space="preserve">B8:98:B0:0F:1C:6E</t>
  </si>
  <si>
    <t xml:space="preserve">B8:A4:4F:68:F4:DA</t>
  </si>
  <si>
    <t xml:space="preserve">B8:98:B0:0F:1C:67</t>
  </si>
  <si>
    <t xml:space="preserve">38:4b:76:f1:9a:cd</t>
  </si>
  <si>
    <t xml:space="preserve">4/1/13</t>
  </si>
  <si>
    <t xml:space="preserve">00:1D:56:0A:E0:53</t>
  </si>
  <si>
    <t xml:space="preserve">4/1/14</t>
  </si>
  <si>
    <t xml:space="preserve">B8:80:4F:28:1D:83</t>
  </si>
  <si>
    <t xml:space="preserve">F8:25:51:CF:6E:65</t>
  </si>
  <si>
    <t xml:space="preserve">C4:42:68:38:BB:AC</t>
  </si>
  <si>
    <t xml:space="preserve">48:21:0B:56:AD:69</t>
  </si>
  <si>
    <t xml:space="preserve">B8:98:B0:0F:1C:6A</t>
  </si>
  <si>
    <t xml:space="preserve">B8:A4:4F:69:AE:6F</t>
  </si>
  <si>
    <t xml:space="preserve">4/1/20</t>
  </si>
  <si>
    <t xml:space="preserve">38:4b:76:f1:8f:eb</t>
  </si>
  <si>
    <t xml:space="preserve">4/1/21</t>
  </si>
  <si>
    <t xml:space="preserve">00:1D:56:0A:E0:88</t>
  </si>
  <si>
    <t xml:space="preserve">B8:80:4F:28:54:6D</t>
  </si>
  <si>
    <t xml:space="preserve">48:21:0B:56:AE:56</t>
  </si>
  <si>
    <t xml:space="preserve">PhysicalAccess</t>
  </si>
  <si>
    <t xml:space="preserve">cloe-000-200v</t>
  </si>
  <si>
    <t xml:space="preserve">00:11:B9:08:2B:67</t>
  </si>
  <si>
    <t xml:space="preserve">1213 (200V_building)</t>
  </si>
  <si>
    <t xml:space="preserve">2510 (VL-bac-01)</t>
  </si>
  <si>
    <t xml:space="preserve">200v-lvl-5-quiet-study</t>
  </si>
  <si>
    <t xml:space="preserve">40:F8:DF:64:BE:D6</t>
  </si>
  <si>
    <t xml:space="preserve">04:91:62:D7:95:5D</t>
  </si>
  <si>
    <t xml:space="preserve">200v-lvl-5-eap-office</t>
  </si>
  <si>
    <t xml:space="preserve">6C:3C:7C:BE:91:93</t>
  </si>
  <si>
    <t xml:space="preserve">200v-lvl-5-staffroom2</t>
  </si>
  <si>
    <t xml:space="preserve">6C:3C:7C:BE:C0:A9</t>
  </si>
  <si>
    <t xml:space="preserve">00:1C:08:00:6B:B7</t>
  </si>
  <si>
    <t xml:space="preserve">6/1/20</t>
  </si>
  <si>
    <t xml:space="preserve">38:4b:76:f1:9a:d1</t>
  </si>
  <si>
    <t xml:space="preserve">6/1/24</t>
  </si>
  <si>
    <t xml:space="preserve">38:4b:76:f1:89:59</t>
  </si>
  <si>
    <t xml:space="preserve">6/1/26</t>
  </si>
  <si>
    <t xml:space="preserve">00:1D:56:0A:DF:BD</t>
  </si>
  <si>
    <t xml:space="preserve">6/1/27</t>
  </si>
  <si>
    <t xml:space="preserve">B8:80:4F:18:74:D1</t>
  </si>
  <si>
    <t xml:space="preserve">48:21:0B:56:AD:2C</t>
  </si>
  <si>
    <t xml:space="preserve">6/1/28</t>
  </si>
  <si>
    <t xml:space="preserve">F8:25:51:CF:6E:6D</t>
  </si>
  <si>
    <t xml:space="preserve">6/1/34</t>
  </si>
  <si>
    <t xml:space="preserve">38:4b:76:f1:90:1d</t>
  </si>
  <si>
    <t xml:space="preserve">6/1/35</t>
  </si>
  <si>
    <t xml:space="preserve">48:21:0B:56:AC:F2</t>
  </si>
  <si>
    <t xml:space="preserve">6/1/38</t>
  </si>
  <si>
    <t xml:space="preserve">38:4b:76:f1:89:60</t>
  </si>
  <si>
    <t xml:space="preserve">6/1/39</t>
  </si>
  <si>
    <t xml:space="preserve">00:1D:56:0A:E0:87</t>
  </si>
  <si>
    <t xml:space="preserve">6/1/40</t>
  </si>
  <si>
    <t xml:space="preserve">B8:80:4F:18:22:12</t>
  </si>
  <si>
    <t xml:space="preserve">F8:25:51:CB:8C:9A</t>
  </si>
  <si>
    <t xml:space="preserve">6/1/41</t>
  </si>
  <si>
    <t xml:space="preserve">A8:4A:63:30:73:65</t>
  </si>
  <si>
    <t xml:space="preserve">6/1/45</t>
  </si>
  <si>
    <t xml:space="preserve">A8:4A:63:30:73:E3</t>
  </si>
  <si>
    <t xml:space="preserve">6/1/46</t>
  </si>
  <si>
    <t xml:space="preserve">F8:25:51:CB:8C:95</t>
  </si>
  <si>
    <t xml:space="preserve">7/1/3</t>
  </si>
  <si>
    <t xml:space="preserve">F8:25:51:CB:8C:A9</t>
  </si>
  <si>
    <t xml:space="preserve">7/1/4</t>
  </si>
  <si>
    <t xml:space="preserve">F8:25:51:CB:8A:CE</t>
  </si>
  <si>
    <t xml:space="preserve">7/1/5</t>
  </si>
  <si>
    <t xml:space="preserve">F8:25:51:CB:8B:46</t>
  </si>
  <si>
    <t xml:space="preserve">7/1/8</t>
  </si>
  <si>
    <t xml:space="preserve">F8:25:51:CB:8C:97</t>
  </si>
  <si>
    <t xml:space="preserve">7/1/9</t>
  </si>
  <si>
    <t xml:space="preserve">38:4b:76:f1:89:2b</t>
  </si>
  <si>
    <t xml:space="preserve">7/1/10</t>
  </si>
  <si>
    <t xml:space="preserve">F8:25:51:CB:8B:41</t>
  </si>
  <si>
    <t xml:space="preserve">7/1/11</t>
  </si>
  <si>
    <t xml:space="preserve">B8:80:4F:28:50:35</t>
  </si>
  <si>
    <t xml:space="preserve">7/1/14</t>
  </si>
  <si>
    <t xml:space="preserve">F8:25:51:CB:8C:69</t>
  </si>
  <si>
    <t xml:space="preserve">7/1/17</t>
  </si>
  <si>
    <t xml:space="preserve">200v-lvl-6-staff-corridor</t>
  </si>
  <si>
    <t xml:space="preserve">34:9F:7B:5E:35:55</t>
  </si>
  <si>
    <t xml:space="preserve">38:4b:76:f1:89:5e</t>
  </si>
  <si>
    <t xml:space="preserve">7/1/22</t>
  </si>
  <si>
    <t xml:space="preserve">00:1D:56:0A:E0:89</t>
  </si>
  <si>
    <t xml:space="preserve">7/1/23</t>
  </si>
  <si>
    <t xml:space="preserve">B8:80:4F:28:19:F0</t>
  </si>
  <si>
    <t xml:space="preserve">48:21:0B:56:AE:2F</t>
  </si>
  <si>
    <t xml:space="preserve">7/1/24</t>
  </si>
  <si>
    <t xml:space="preserve">38:4b:76:f1:9a:d4</t>
  </si>
  <si>
    <t xml:space="preserve">7/1/27</t>
  </si>
  <si>
    <t xml:space="preserve">00:1D:56:0A:E0:4D</t>
  </si>
  <si>
    <t xml:space="preserve">7/1/28</t>
  </si>
  <si>
    <t xml:space="preserve">B8:80:4F:28:54:5B</t>
  </si>
  <si>
    <t xml:space="preserve">48:21:0B:56:AA:57</t>
  </si>
  <si>
    <t xml:space="preserve">7/1/30</t>
  </si>
  <si>
    <t xml:space="preserve">38:4b:76:f1:90:19</t>
  </si>
  <si>
    <t xml:space="preserve">7/1/31</t>
  </si>
  <si>
    <t xml:space="preserve">00:1D:56:0A:E0:35</t>
  </si>
  <si>
    <t xml:space="preserve">7/1/32</t>
  </si>
  <si>
    <t xml:space="preserve">B8:80:4F:28:58:54</t>
  </si>
  <si>
    <t xml:space="preserve">48:21:0B:56:AD:53</t>
  </si>
  <si>
    <t xml:space="preserve">7/1/33</t>
  </si>
  <si>
    <t xml:space="preserve">F8:25:51:CB:8C:A8</t>
  </si>
  <si>
    <t xml:space="preserve">7/1/34</t>
  </si>
  <si>
    <t xml:space="preserve">00:1D:56:0A:E0:36</t>
  </si>
  <si>
    <t xml:space="preserve">7/1/35</t>
  </si>
  <si>
    <t xml:space="preserve">B8:80:4F:28:5C:11</t>
  </si>
  <si>
    <t xml:space="preserve">F8:25:51:CB:8B:3D</t>
  </si>
  <si>
    <t xml:space="preserve">7/1/40</t>
  </si>
  <si>
    <t xml:space="preserve">38:1A:52:B1:75:B8</t>
  </si>
  <si>
    <t xml:space="preserve">7/1/44</t>
  </si>
  <si>
    <t xml:space="preserve">Hostname</t>
  </si>
  <si>
    <t xml:space="preserve">Role</t>
  </si>
  <si>
    <t xml:space="preserve">Hardware</t>
  </si>
  <si>
    <t xml:space="preserve">Config file (by MAC)</t>
  </si>
  <si>
    <t xml:space="preserve">Uplink to core</t>
  </si>
  <si>
    <t xml:space="preserve">200V devices</t>
  </si>
  <si>
    <t xml:space="preserve">To do</t>
  </si>
  <si>
    <t xml:space="preserve">Management IP</t>
  </si>
  <si>
    <t xml:space="preserve">9 Oct 2026 result</t>
  </si>
  <si>
    <t xml:space="preserve">26 Oct 2026 result</t>
  </si>
  <si>
    <t xml:space="preserve">Core / gateway for new VLANs</t>
  </si>
  <si>
    <t xml:space="preserve">2 x ICX8200-24FX stack</t>
  </si>
  <si>
    <t xml:space="preserve">B0_7C_51_1F_8C_06</t>
  </si>
  <si>
    <t xml:space="preserve">n/a</t>
  </si>
  <si>
    <t xml:space="preserve">10.20.8.2 (ve 1960)</t>
  </si>
  <si>
    <t xml:space="preserve">Reloaded for system-max 40. WIFIMGMT-IN ACL: added seq 23/24 (SmartZone private IPs) and seq 25 (RADIUS 10.128.131.7) - unplanned, see Review 91 and 107. Saved</t>
  </si>
  <si>
    <t xml:space="preserve">Not changed (ve 2000 10.21.0.1 is the gateway for the switch management addresses)</t>
  </si>
  <si>
    <t xml:space="preserve">Access</t>
  </si>
  <si>
    <t xml:space="preserve">5 x ICX8200 stack</t>
  </si>
  <si>
    <t xml:space="preserve">80_F0_CF_38_0D_C2</t>
  </si>
  <si>
    <t xml:space="preserve">lag 3 (lvl3)</t>
  </si>
  <si>
    <t xml:space="preserve">10.21.0.27 (ve 2000, VLAN 2000), from 26 Oct; was 192.168.122.22 (ve 100)</t>
  </si>
  <si>
    <t xml:space="preserve">Cutover done, 84 ports. system-max 40 active. Review tab change: 7 ports (5 to 2100, 2 to 2530). Saved. 1/1/48 left on 100. Unlisted AV: 8 ports 1230 -&gt; 2700. 10 Oct: 7 outlets (20:7B:D2:30 devices) 1230 -&gt; 2100. 10 Oct: 3/1/20 (staff PC) 1240 -&gt; 2100</t>
  </si>
  <si>
    <t xml:space="preserve">Port clean-up: 32 ports (Trinity column Q, 16 Oct export). Management moved to 10.21.0.27, default route via 10.21.0.1, management source ve 2000, old IP removed. Saved. First Part B attempt rolled back by the reload timer (7:06 pm); second attempt OK.</t>
  </si>
  <si>
    <t xml:space="preserve">80_F0_CF_37_FD_84</t>
  </si>
  <si>
    <t xml:space="preserve">lag 2 (lvl4)</t>
  </si>
  <si>
    <t xml:space="preserve">10.21.0.26 (ve 2000, VLAN 2000), from 26 Oct; was 192.168.122.21 (ve 100)</t>
  </si>
  <si>
    <t xml:space="preserve">Cutover done, 89 ports. system-max 40 active. Confirm APs online. Review tab change: 3/1/7, 3/1/28 to 2100 (no link). 1/1/48 left on 100. Confirm write memory. Unlisted AV: 8 ports 1230 -&gt; 2700. 10 Oct: 6 outlets (20:7B:D2:30 devices) 1230 -&gt; 2100. 10 Oct: 4/1/30 1230 -&gt; 2700, 4/1/19 (Airtame) 1272 -&gt; 2700, 3/1/1 (staff PC) 1240 -&gt; 2100</t>
  </si>
  <si>
    <t xml:space="preserve">Port clean-up: 54 ports (Trinity column Q, 16 Oct export). Management moved to 10.21.0.26, default route via 10.21.0.1, management source ve 2000, old IP removed. Saved. SmartZone HTTP 500 until old IP removed and agent restarted.</t>
  </si>
  <si>
    <t xml:space="preserve">7 x ICX8200 stack</t>
  </si>
  <si>
    <t xml:space="preserve">3C_46_A1_07_54_4E</t>
  </si>
  <si>
    <t xml:space="preserve">lag 1 (lvl6)</t>
  </si>
  <si>
    <t xml:space="preserve">10.21.0.20 (ve 2000, VLAN 2000), from 26 Oct; was 192.168.122.11 (ve 100)</t>
  </si>
  <si>
    <t xml:space="preserve">Cutover done, 145 ports. system-max 40 active, STP on 2600/2700. Units 3/4 left the stack 20:03 and 22:44 on 9 Oct; out until unit 3 power cycled 13:35 on 10 Oct (unit 3 hangs; TAC/RMA). Saved. Review tab change: 8 ports to 2100. Saved</t>
  </si>
  <si>
    <t xml:space="preserve">Port clean-up: 144 ports (Trinity column Q, 16 Oct export). Management moved to 10.21.0.20, default route via 10.21.0.1, management source ve 2000, old IP removed. Saved. 1/1/32 had no MAC when checked.</t>
  </si>
  <si>
    <t xml:space="preserve">1 x ICX8200-24P</t>
  </si>
  <si>
    <t xml:space="preserve">3C_46_A1_05_28_AC</t>
  </si>
  <si>
    <t xml:space="preserve">lag 5 (LT01), LT2-1 ports 1/2/1-1/2/2 to core 1/1/5 + 2/1/5 (LLDP)</t>
  </si>
  <si>
    <t xml:space="preserve">10.21.0.21 (ve 2000, VLAN 2000), from 26 Oct; was 192.168.122.12 (ve 100)</t>
  </si>
  <si>
    <t xml:space="preserve">Cutover done, 16 ports. system-max 40 active</t>
  </si>
  <si>
    <t xml:space="preserve">Port clean-up: 5 ports (Trinity column Q, 16 Oct export). Management moved to 10.21.0.21, default route via 10.21.0.1, management source ve 2000, old IP removed. Saved.</t>
  </si>
  <si>
    <t xml:space="preserve">1 x ICX7150-C12</t>
  </si>
  <si>
    <t xml:space="preserve">10_F0_68_0C_06_D6</t>
  </si>
  <si>
    <t xml:space="preserve">Via LT2-1 port 1/1/23 (their 1/1/12), confirmed by LLDP</t>
  </si>
  <si>
    <t xml:space="preserve">10.21.0.22 (ve 2000, VLAN 2000), from 26 Oct; was 192.168.122.13 (ve 100)</t>
  </si>
  <si>
    <t xml:space="preserve">system-max 40 only; no port changes</t>
  </si>
  <si>
    <t xml:space="preserve">Port clean-up: 11 ports (Trinity column Q, 16 Oct export). Management moved to 10.21.0.22, default route via 10.21.0.1, management source ve 2000, old IP removed. Saved. 1/1/1 tagged-only with 2000-2953.</t>
  </si>
  <si>
    <t xml:space="preserve">10_F0_68_0B_D2_3E</t>
  </si>
  <si>
    <t xml:space="preserve">Via LT2-1 port 1/1/24 (their 1/1/12), confirmed by LLDP</t>
  </si>
  <si>
    <t xml:space="preserve">10.21.0.23 (ve 2000, VLAN 2000), from 26 Oct; was 192.168.122.14 (ve 100)</t>
  </si>
  <si>
    <t xml:space="preserve">system-max 40. Review tab change: 1/1/4 to 2100 (no link). Saved</t>
  </si>
  <si>
    <t xml:space="preserve">Port clean-up: 10 ports (Trinity column Q, 16 Oct export). Management moved to 10.21.0.23, default route via 10.21.0.1, management source ve 2000, old IP removed. Saved.</t>
  </si>
  <si>
    <t xml:space="preserve">10_F0_68_0B_D2_2C</t>
  </si>
  <si>
    <t xml:space="preserve">lag 4 (v08)</t>
  </si>
  <si>
    <t xml:space="preserve">10.21.0.25 (ve 2000, VLAN 2000), from 26 Oct; was 192.168.122.16 (ve 100)</t>
  </si>
  <si>
    <t xml:space="preserve">Port clean-up: 10 ports (Trinity column Q, 16 Oct export). Management moved to 10.21.0.25, default route via 10.21.0.1, management source ve 2000, old IP removed. Saved. UPS cards 1/1/7-1/1/9 to 2000 (DHCP); DNS servers added.</t>
  </si>
  <si>
    <t xml:space="preserve">10_F0_68_0B_D2_62</t>
  </si>
  <si>
    <t xml:space="preserve">lag 6 (SW6.03)</t>
  </si>
  <si>
    <t xml:space="preserve">10.21.0.24 (ve 2000, VLAN 2000), from 26 Oct; was 192.168.122.15 (ve 100)</t>
  </si>
  <si>
    <t xml:space="preserve">Cutover done, 6 ports + 1/1/3 and 1/1/9 (added on site). system-max 40 active. Confirm write memory</t>
  </si>
  <si>
    <t xml:space="preserve">Port clean-up: 1 port (Trinity column Q, 16 Oct export). Management moved to 10.21.0.24, default route via 10.21.0.1, management source ve 2000, old IP removed. Saved.</t>
  </si>
  <si>
    <t xml:space="preserve">Note: on 26 Oct 2026 the access switches' management moved from VLAN 100 (ve 100, 192.168.122.0/22) to VLAN 2000 (ve 2000, 10.21.0.20 - .27, gateway 10.21.0.1). The core stays on ve 1960 (10.20.8.2).</t>
  </si>
  <si>
    <t xml:space="preserve">Port clean-up from Trinity's switch port export (16 Oct 2026, column Q), applied 26 Oct 2026 on all 8 switches</t>
  </si>
  <si>
    <t xml:space="preserve">Old untagged VLAN</t>
  </si>
  <si>
    <t xml:space="preserve">Tagged VLANs removed</t>
  </si>
  <si>
    <t xml:space="preserve">New untagged VLAN</t>
  </si>
  <si>
    <t xml:space="preserve">Link 16 Oct</t>
  </si>
  <si>
    <t xml:space="preserve">MAC 16 Oct</t>
  </si>
  <si>
    <t xml:space="preserve">Note</t>
  </si>
  <si>
    <t xml:space="preserve">1240</t>
  </si>
  <si>
    <t xml:space="preserve">1230, 1250, 1271, 1272, 1273</t>
  </si>
  <si>
    <t xml:space="preserve">2100</t>
  </si>
  <si>
    <t xml:space="preserve">Done 26 Oct</t>
  </si>
  <si>
    <t xml:space="preserve">1272, 1273</t>
  </si>
  <si>
    <t xml:space="preserve">1C:1A:DF:C2:4F:5E</t>
  </si>
  <si>
    <t xml:space="preserve">100</t>
  </si>
  <si>
    <t xml:space="preserve">1212, 1213, 1230, 1240, 1250, 1271, 1272, 1273</t>
  </si>
  <si>
    <t xml:space="preserve">1 (default)</t>
  </si>
  <si>
    <t xml:space="preserve">A0:4A:5E:E7:E8:70</t>
  </si>
  <si>
    <t xml:space="preserve">1272</t>
  </si>
  <si>
    <t xml:space="preserve">1273</t>
  </si>
  <si>
    <t xml:space="preserve">1C:1A:DF:C2:51:28</t>
  </si>
  <si>
    <t xml:space="preserve">1230</t>
  </si>
  <si>
    <t xml:space="preserve">1C:1A:DF:C2:51:01</t>
  </si>
  <si>
    <t xml:space="preserve">1C:1A:DF:C0:98:69</t>
  </si>
  <si>
    <t xml:space="preserve">1C:1A:DF:C0:9A:AB</t>
  </si>
  <si>
    <t xml:space="preserve">1C:1A:DF:C2:51:DF</t>
  </si>
  <si>
    <t xml:space="preserve">1C:1A:DF:C0:9A:52</t>
  </si>
  <si>
    <t xml:space="preserve">1C:1A:DF:C2:50:05</t>
  </si>
  <si>
    <t xml:space="preserve">230, 1212, 1213, 1230, 1250, 1271, 1272, 1273</t>
  </si>
  <si>
    <t xml:space="preserve">4C:C5:D9:D0:8D:23</t>
  </si>
  <si>
    <t xml:space="preserve">1C:1A:DF:C2:45:3F</t>
  </si>
  <si>
    <t xml:space="preserve">48:21:0B:56:AC:A4</t>
  </si>
  <si>
    <t xml:space="preserve">1212, 1213, 1230, 1250, 1271, 1272, 1273</t>
  </si>
  <si>
    <t xml:space="preserve">none (tagged-only 2000-2953)</t>
  </si>
  <si>
    <t xml:space="preserve">item 3, decision 22 Oct: remove old VLANs only. Port becomes tagged-only with 2000 - 2953 (no untagged VLAN)</t>
  </si>
  <si>
    <t xml:space="preserve">1C:1A:DF:C0:99:7F</t>
  </si>
  <si>
    <t xml:space="preserve">AC:B4:80:F1:61:27</t>
  </si>
  <si>
    <t xml:space="preserve">2000</t>
  </si>
  <si>
    <t xml:space="preserve">00:09:F5:32:DB:15</t>
  </si>
  <si>
    <t xml:space="preserve">item 2, Trinity 22 Oct: UPS card 00:09:F5:32:DB:15 to 2000</t>
  </si>
  <si>
    <t xml:space="preserve">00:09:F5:32:DB:D1</t>
  </si>
  <si>
    <t xml:space="preserve">item 2, Trinity 22 Oct: UPS card 00:09:F5:32:DB:D1 to 2000</t>
  </si>
  <si>
    <t xml:space="preserve">00:09:F5:32:DB:14</t>
  </si>
  <si>
    <t xml:space="preserve">item 2, Trinity 22 Oct: UPS card 00:09:F5:32:DB:14 to 2000</t>
  </si>
  <si>
    <t xml:space="preserve">1272, 1273, 2300, 2310, 2311, 2320, 2321, 2900</t>
  </si>
  <si>
    <t xml:space="preserve">1212</t>
  </si>
  <si>
    <t xml:space="preserve">A0:4A:5E:E7:35:43</t>
  </si>
  <si>
    <t xml:space="preserve">1C:1A:DF:C2:51:D3</t>
  </si>
  <si>
    <t xml:space="preserve">4C:C5:D9:CD:B4:CC</t>
  </si>
  <si>
    <t xml:space="preserve">item 1, Trinity 22 Oct: 20:7B:D2:30:99:15 (200V4H9) to 2100</t>
  </si>
  <si>
    <t xml:space="preserve">item 1, Trinity 22 Oct: 20:7B:D2:30:99:25 (200V4I17) to 2100</t>
  </si>
  <si>
    <t xml:space="preserve">item 1, Trinity 22 Oct: 20:7B:D2:30:98:C1 (200V3J14) to 2100</t>
  </si>
  <si>
    <t xml:space="preserve">1C:1A:DF:C2:51:C2</t>
  </si>
  <si>
    <t xml:space="preserve">A0:4A:5E:E7:D5:7C</t>
  </si>
  <si>
    <t xml:space="preserve">230</t>
  </si>
  <si>
    <t xml:space="preserve">Untagged VLAN</t>
  </si>
  <si>
    <t xml:space="preserve">Tagged VLANs</t>
  </si>
  <si>
    <t xml:space="preserve">MACs seen (200V tab)</t>
  </si>
  <si>
    <t xml:space="preserve">MAC(s) seen</t>
  </si>
  <si>
    <t xml:space="preserve">None (tagged only)</t>
  </si>
  <si>
    <t xml:space="preserve">n/a (trunk)</t>
  </si>
  <si>
    <t xml:space="preserve">100,1212,1213,1230,1240,1250,1271,1272,1273,2000,2010,2020,2100,2200,2300,2310,2320,2400,2500,2510,2520,2530,2600,2700,2800,2810,2900</t>
  </si>
  <si>
    <t xml:space="preserve">Trunk/uplink: tagged VLANs only</t>
  </si>
  <si>
    <t xml:space="preserve">1212,1213,1230,1240,1250,1271,1272,1273</t>
  </si>
  <si>
    <t xml:space="preserve">00:50:56:05:43:F1</t>
  </si>
  <si>
    <t xml:space="preserve">LLDP: CLA-TAN3130059J (NUC, MAC 48:21:0B:56:AC:A4), not in device list</t>
  </si>
  <si>
    <t xml:space="preserve">100,1212,1213,1230,1240,1250,1271,1272,1273,2000,2010,2020,2100,2200,2300,2310,2320,2400,2500,2510,2520,2530,2600,2700,2800,2810,2900,2950,2951,2952,2953</t>
  </si>
  <si>
    <t xml:space="preserve">10:F0:68:0C:06:E1, 10:F0:68:0C:06:D6</t>
  </si>
  <si>
    <t xml:space="preserve">Uplink to switch-200V-LT2-2 (LLDP)</t>
  </si>
  <si>
    <t xml:space="preserve">10:F0:68:0B:D2:49, 10:F0:68:0B:D2:3E, AC:B4:80:F1:61:7F</t>
  </si>
  <si>
    <t xml:space="preserve">Uplink to switch-200V-LT2-3 (LLDP)</t>
  </si>
  <si>
    <t xml:space="preserve">1212,1213,1230,1250,1271,1272,1273,2000,2010,2020,2100,2200,2300,2310,2320,2400,2500,2510,2520,2530,2600,2700,2800,2810,2900,2950,2951,2952,2953</t>
  </si>
  <si>
    <t xml:space="preserve">1240 (200v_staff)</t>
  </si>
  <si>
    <t xml:space="preserve">d4:a2:cd:e1:dd:0e</t>
  </si>
  <si>
    <t xml:space="preserve">Moved 9 Oct (Review tab change).</t>
  </si>
  <si>
    <t xml:space="preserve">100,1230,1272</t>
  </si>
  <si>
    <t xml:space="preserve">F8:25:51:CB:8C:76</t>
  </si>
  <si>
    <t xml:space="preserve">Moved to 2700 on 9 Oct (added on site, not in the cutover file).</t>
  </si>
  <si>
    <t xml:space="preserve">01d.560a.dfc0</t>
  </si>
  <si>
    <t xml:space="preserve">Moved to 2700 on 9 Oct (added on site, not in the cutover file). MAC 01d.560a.dfc0 = 00:1D:56:0A:DF:C0, the AV Switcher on the Not found tab (master row 769)</t>
  </si>
  <si>
    <t xml:space="preserve">00:09:F5:32:DB:49</t>
  </si>
  <si>
    <t xml:space="preserve">D8:43:AE:B1:69:BE</t>
  </si>
  <si>
    <t xml:space="preserve">Moved to 2700 on 9 Oct (unlisted AV device).</t>
  </si>
  <si>
    <t xml:space="preserve">Moved to 2100 on 10 Oct. Outlet 200V3J5, device 20:7B:D2:30:98:F3 (Dycom patching sheet 2025-07-30).</t>
  </si>
  <si>
    <t xml:space="preserve">D8:43:AE:B1:6E:9B</t>
  </si>
  <si>
    <t xml:space="preserve">4C:C5:D9:D0:8D:2A</t>
  </si>
  <si>
    <t xml:space="preserve">Moved to 2100 on 10 Oct (live device seen 10 Oct).</t>
  </si>
  <si>
    <t xml:space="preserve">D8:3A:DD:C6:37:A8</t>
  </si>
  <si>
    <t xml:space="preserve">D0:C1:B5:21:B3:20</t>
  </si>
  <si>
    <t xml:space="preserve">1C:1A:DF:C2:45:23</t>
  </si>
  <si>
    <t xml:space="preserve">1C:1A:DF:C2:45:39</t>
  </si>
  <si>
    <t xml:space="preserve">Already on 2100</t>
  </si>
  <si>
    <t xml:space="preserve">Pilot staff outlet 200V3B20 (moved 5 Oct)</t>
  </si>
  <si>
    <t xml:space="preserve">Pilot staff outlet 200V3B21 (moved 5 Oct)</t>
  </si>
  <si>
    <t xml:space="preserve">Pilot staff outlet 200V3B22 (moved 5 Oct)</t>
  </si>
  <si>
    <t xml:space="preserve">Pilot staff outlet 200V3B23 (moved 5 Oct)</t>
  </si>
  <si>
    <t xml:space="preserve">Pilot staff outlet 200V3B24 (moved 5 Oct)</t>
  </si>
  <si>
    <t xml:space="preserve">Pilot staff outlet 200V3C1 (moved 5 Oct)</t>
  </si>
  <si>
    <t xml:space="preserve">Pilot staff outlet 200V3C5 (moved 5 Oct)</t>
  </si>
  <si>
    <t xml:space="preserve">Pilot staff outlet 200V3C6 (moved 5 Oct)</t>
  </si>
  <si>
    <t xml:space="preserve">Pilot staff outlet 200V3C7 (moved 5 Oct)</t>
  </si>
  <si>
    <t xml:space="preserve">Pilot staff outlet 200V3C8 (moved 5 Oct)</t>
  </si>
  <si>
    <t xml:space="preserve">Pilot staff outlet 200V3C9 (moved 5 Oct)</t>
  </si>
  <si>
    <t xml:space="preserve">Pilot staff outlet 200V3C10 (moved 5 Oct)</t>
  </si>
  <si>
    <t xml:space="preserve">Pilot staff outlet 200V3C11 (moved 5 Oct)</t>
  </si>
  <si>
    <t xml:space="preserve">1C:1A:DF:C2:4C:A0</t>
  </si>
  <si>
    <t xml:space="preserve">Pilot staff outlet 200V3C12 (moved 5 Oct)</t>
  </si>
  <si>
    <t xml:space="preserve">Pilot staff outlet 200V3C13 (moved 5 Oct)</t>
  </si>
  <si>
    <t xml:space="preserve">Pilot staff outlet 200V3C14 (moved 5 Oct)</t>
  </si>
  <si>
    <t xml:space="preserve">Pilot staff outlet 200V3C15 (moved 5 Oct)</t>
  </si>
  <si>
    <t xml:space="preserve">Pilot staff outlet 200V3C16 (moved 5 Oct)</t>
  </si>
  <si>
    <t xml:space="preserve">Pilot staff outlet 200V3C17 (moved 5 Oct)</t>
  </si>
  <si>
    <t xml:space="preserve">Pilot staff outlet 200V3C18 (moved 5 Oct)</t>
  </si>
  <si>
    <t xml:space="preserve">Pilot staff outlet 200V3C19 (moved 5 Oct)</t>
  </si>
  <si>
    <t xml:space="preserve">Pilot staff outlet 200V3C20 (moved 5 Oct)</t>
  </si>
  <si>
    <t xml:space="preserve">AC:B4:80:F1:61:85</t>
  </si>
  <si>
    <t xml:space="preserve">2C:CF:67:A6:4B:DE</t>
  </si>
  <si>
    <t xml:space="preserve">D8:43:AE:B1:6C:A8</t>
  </si>
  <si>
    <t xml:space="preserve">Moved to 2100 on 10 Oct. Outlet 200V3G16, device 20:7B:D2:30:98:D6 (Dycom patching sheet 2025-07-30).</t>
  </si>
  <si>
    <t xml:space="preserve">D8:43:AE:B1:6D:30</t>
  </si>
  <si>
    <t xml:space="preserve">Moved to 2100 on 10 Oct. Outlet 200V3H2, device 20:7B:D2:30:99:09 (Dycom patching sheet 2025-07-30).</t>
  </si>
  <si>
    <t xml:space="preserve">D8:43:AE:B1:6E:B0</t>
  </si>
  <si>
    <t xml:space="preserve">Moved to 2100 on 10 Oct. Outlet 200V3I8, device 20:7B:D2:30:98:AF (Dycom patching sheet 2025-07-30).</t>
  </si>
  <si>
    <t xml:space="preserve">D8:43:AE:B1:6E:3C</t>
  </si>
  <si>
    <t xml:space="preserve">D8:43:AE:B1:6F:04</t>
  </si>
  <si>
    <t xml:space="preserve">Moved to 2100 on 10 Oct. Outlet 200V3I16, device 20:7B:D2:30:98:D2 (Dycom patching sheet 2025-07-30).</t>
  </si>
  <si>
    <t xml:space="preserve">Moved to 2100 on 10 Oct. Outlet 200V3H14, device 20:7B:D2:30:98:B1 (Dycom patching sheet 2025-07-30).</t>
  </si>
  <si>
    <t xml:space="preserve">D8:43:AE:B1:6F:00</t>
  </si>
  <si>
    <t xml:space="preserve">Moved to 2100 on 10 Oct. Outlet 200V3H21, device 20:7B:D2:30:99:29 (Dycom patching sheet 2025-07-30).</t>
  </si>
  <si>
    <t xml:space="preserve">1272,1273,2300,2310,2311,2320,2321</t>
  </si>
  <si>
    <t xml:space="preserve">D8:43:AE:B1:6E:06</t>
  </si>
  <si>
    <t xml:space="preserve">Moved to 2100 on 10 Oct. Outlet 200V4H22, device 20:7B:D2:30:98:FD (Dycom patching sheet 2025-07-30).</t>
  </si>
  <si>
    <t xml:space="preserve">Moved to 2100 on 10 Oct. Outlet 200V4I10, device 20:7B:D2:30:98:EF (Dycom patching sheet 2025-07-30).</t>
  </si>
  <si>
    <t xml:space="preserve">D8:43:AE:B1:6A:29</t>
  </si>
  <si>
    <t xml:space="preserve">Moved to 2100 on 10 Oct. Outlet 200V4J4, device 20:7B:D2:30:98:DB (Dycom patching sheet 2025-07-30).</t>
  </si>
  <si>
    <t xml:space="preserve">Moved to 2100 on 10 Oct. Outlet 200V4J14, device 20:7B:D2:30:99:0E (Dycom patching sheet 2025-07-30).</t>
  </si>
  <si>
    <t xml:space="preserve">00:09:F5:32:D9:F7</t>
  </si>
  <si>
    <t xml:space="preserve">D8:43:AE:B1:70:1E</t>
  </si>
  <si>
    <t xml:space="preserve">D4:A2:CD:E4:99:ED</t>
  </si>
  <si>
    <t xml:space="preserve">A0:4A:5E:E7:D5:71</t>
  </si>
  <si>
    <t xml:space="preserve">Moved to 2100 on 10 Oct. Outlet 200V4F5, device 20:7B:D2:30:98:DF (Dycom patching sheet 2025-07-30).</t>
  </si>
  <si>
    <t xml:space="preserve">D8:43:AE:B1:6D:56</t>
  </si>
  <si>
    <t xml:space="preserve">38:4B:76:E0:B0:B1</t>
  </si>
  <si>
    <t xml:space="preserve">Moved to 2700 on 10 Oct (live device seen 10 Oct).</t>
  </si>
  <si>
    <t xml:space="preserve">Moved to 2100 on 10 Oct. Outlet 200V4H2, device 20:7B:D2:30:98:C2 (Dycom patching sheet 2025-07-30).</t>
  </si>
  <si>
    <t xml:space="preserve">F8:25:51:CC:2C:76</t>
  </si>
  <si>
    <t xml:space="preserve">Moved to 2700 on 10 Oct (Review item 49).</t>
  </si>
  <si>
    <t xml:space="preserve">D8:43:AE:B1:69:32</t>
  </si>
  <si>
    <t xml:space="preserve">D8:43:AE:B1:6C:8C</t>
  </si>
  <si>
    <t xml:space="preserve">D8:43:AE:B1:6D:DF</t>
  </si>
  <si>
    <t xml:space="preserve">D8:43:AE:B1:6F:10</t>
  </si>
  <si>
    <t xml:space="preserve">1230,1250,1271,1272,1273</t>
  </si>
  <si>
    <t xml:space="preserve">100,230,1212,1213,1230,1240,1250,1271,1272,1273</t>
  </si>
  <si>
    <t xml:space="preserve">1272,1273</t>
  </si>
  <si>
    <t xml:space="preserve">1C:1A:DF:C2:44:7A</t>
  </si>
  <si>
    <t xml:space="preserve">Already on 2010</t>
  </si>
  <si>
    <t xml:space="preserve">A0:4A:5E:E7:D3:D5</t>
  </si>
  <si>
    <t xml:space="preserve">1C:1A:DF:C2:45:96</t>
  </si>
  <si>
    <t xml:space="preserve">1C:1A:DF:C0:98:B8</t>
  </si>
  <si>
    <t xml:space="preserve">230,1212,1213,1230,1250,1271,1272,1273</t>
  </si>
  <si>
    <t xml:space="preserve">1C:1A:DF:C2:4E:3C</t>
  </si>
  <si>
    <t xml:space="preserve">1C:1A:DF:C0:31:0F</t>
  </si>
  <si>
    <t xml:space="preserve">1C:1A:DF:C2:51:31</t>
  </si>
  <si>
    <t xml:space="preserve">48:21:0B:56:AE:44</t>
  </si>
  <si>
    <t xml:space="preserve">Reason</t>
  </si>
  <si>
    <t xml:space="preserve">r650-39-4d-10</t>
  </si>
  <si>
    <t xml:space="preserve">C8:A6:08:39:4D:10</t>
  </si>
  <si>
    <t xml:space="preserve">MAC not in 200V tab</t>
  </si>
  <si>
    <t xml:space="preserve">00:1D:56:0A:DF:C0</t>
  </si>
  <si>
    <t xml:space="preserve">Unknown</t>
  </si>
  <si>
    <t xml:space="preserve">00-1D-56-0A-B4-AB</t>
  </si>
  <si>
    <t xml:space="preserve">F8:25:51:72:A4:52</t>
  </si>
  <si>
    <t xml:space="preserve">F8:25:51:CB:8C:94</t>
  </si>
  <si>
    <t xml:space="preserve">F8:25:51:CC:0F:C6</t>
  </si>
  <si>
    <t xml:space="preserve">Source</t>
  </si>
  <si>
    <t xml:space="preserve">Devices master list, Devices tab, Location = 200V</t>
  </si>
  <si>
    <t xml:space="preserve">Devices with a port</t>
  </si>
  <si>
    <t xml:space="preserve">  Done (pilot)</t>
  </si>
  <si>
    <t xml:space="preserve">  Done (9 Oct cutover)</t>
  </si>
  <si>
    <t xml:space="preserve">  To do</t>
  </si>
  <si>
    <t xml:space="preserve">  Port matched from 200V tab (check)</t>
  </si>
  <si>
    <t xml:space="preserve">Not found on any switch</t>
  </si>
  <si>
    <t xml:space="preserve">Total 200V devices</t>
  </si>
  <si>
    <t xml:space="preserve">Devices</t>
  </si>
  <si>
    <t xml:space="preserve">Legend</t>
  </si>
  <si>
    <t xml:space="preserve">Green row</t>
  </si>
  <si>
    <t xml:space="preserve">Moved in the 5 October pilot or the 9 October cutover (yellow rows were also moved)</t>
  </si>
  <si>
    <t xml:space="preserve">Yellow row</t>
  </si>
  <si>
    <t xml:space="preserve">Master list lookup failed; switch and port taken from the 200V tab by MAC</t>
  </si>
  <si>
    <t xml:space="preserve">Ports with a VLAN but no device listed</t>
  </si>
  <si>
    <t xml:space="preserve">  MAC seen on port (orange)</t>
  </si>
  <si>
    <t xml:space="preserve">  No MAC seen</t>
  </si>
  <si>
    <t xml:space="preserve">  Pilot staff outlets (green)</t>
  </si>
  <si>
    <t xml:space="preserve">  Trunk / uplink ports (grey)</t>
  </si>
  <si>
    <t xml:space="preserve">Orange row</t>
  </si>
  <si>
    <t xml:space="preserve">Ports without device tab: a MAC was seen on the port but no device is listed</t>
  </si>
  <si>
    <t xml:space="preserve">Review items</t>
  </si>
  <si>
    <t xml:space="preserve">  Decided</t>
  </si>
  <si>
    <t xml:space="preserve">  Open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</si>
</sst>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i val="true"/>
      <sz val="10"/>
      <name val="Arial"/>
      <family val="0"/>
      <charset val="1"/>
    </font>
    <font>
      <b val="true"/>
      <sz val="11"/>
      <name val="Cambria"/>
      <family val="0"/>
      <charset val="1"/>
    </font>
  </fonts>
  <fills count="8">
    <fill>
      <patternFill patternType="none"/>
    </fill>
    <fill>
      <patternFill patternType="gray125"/>
    </fill>
    <fill>
      <patternFill patternType="solid">
        <fgColor rgb="FF1F4E79"/>
        <bgColor rgb="FF003366"/>
      </patternFill>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E2EFDA"/>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3"/>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6"/>
    <col collapsed="false" customWidth="true" hidden="false" outlineLevel="0" max="4" min="4" style="1" width="10"/>
    <col collapsed="false" customWidth="true" hidden="false" outlineLevel="0" max="5" min="5" style="1" width="36"/>
    <col collapsed="false" customWidth="true" hidden="false" outlineLevel="0" max="6" min="6" style="1" width="52"/>
    <col collapsed="false" customWidth="true" hidden="false" outlineLevel="0" max="7" min="7" style="1" width="40"/>
    <col collapsed="false" customWidth="true" hidden="false" outlineLevel="0" max="8" min="8" style="1" width="13"/>
    <col collapsed="false" customWidth="true" hidden="false" outlineLevel="0" max="9" min="9" style="1" width="3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c r="E4" s="4" t="s">
        <v>6</v>
      </c>
      <c r="F4" s="4" t="s">
        <v>7</v>
      </c>
      <c r="G4" s="4" t="s">
        <v>8</v>
      </c>
      <c r="H4" s="4" t="s">
        <v>9</v>
      </c>
      <c r="I4" s="4" t="s">
        <v>10</v>
      </c>
    </row>
    <row r="5" customFormat="false" ht="15" hidden="false" customHeight="true" outlineLevel="0" collapsed="false">
      <c r="A5" s="5"/>
      <c r="B5" s="5" t="s">
        <v>11</v>
      </c>
      <c r="C5" s="5"/>
      <c r="D5" s="5"/>
      <c r="E5" s="5"/>
      <c r="F5" s="5"/>
      <c r="G5" s="5"/>
      <c r="H5" s="5"/>
      <c r="I5" s="5"/>
    </row>
    <row r="6" customFormat="false" ht="23.25" hidden="false" customHeight="true" outlineLevel="0" collapsed="false">
      <c r="A6" s="6" t="n">
        <v>1</v>
      </c>
      <c r="B6" s="6" t="s">
        <v>12</v>
      </c>
      <c r="C6" s="6" t="s">
        <v>13</v>
      </c>
      <c r="D6" s="6" t="s">
        <v>14</v>
      </c>
      <c r="E6" s="6" t="s">
        <v>15</v>
      </c>
      <c r="F6" s="6" t="s">
        <v>16</v>
      </c>
      <c r="G6" s="6" t="s">
        <v>17</v>
      </c>
      <c r="H6" s="6" t="s">
        <v>18</v>
      </c>
      <c r="I6" s="6" t="s">
        <v>19</v>
      </c>
    </row>
    <row r="7" customFormat="false" ht="23.25" hidden="false" customHeight="true" outlineLevel="0" collapsed="false">
      <c r="A7" s="6" t="n">
        <v>2</v>
      </c>
      <c r="B7" s="6" t="s">
        <v>12</v>
      </c>
      <c r="C7" s="6" t="s">
        <v>13</v>
      </c>
      <c r="D7" s="6" t="s">
        <v>20</v>
      </c>
      <c r="E7" s="6" t="s">
        <v>21</v>
      </c>
      <c r="F7" s="6" t="s">
        <v>22</v>
      </c>
      <c r="G7" s="6" t="s">
        <v>17</v>
      </c>
      <c r="H7" s="6" t="s">
        <v>18</v>
      </c>
      <c r="I7" s="6" t="s">
        <v>19</v>
      </c>
    </row>
    <row r="8" customFormat="false" ht="34.5" hidden="false" customHeight="true" outlineLevel="0" collapsed="false">
      <c r="A8" s="6" t="n">
        <v>3</v>
      </c>
      <c r="B8" s="6" t="s">
        <v>12</v>
      </c>
      <c r="C8" s="6" t="s">
        <v>13</v>
      </c>
      <c r="D8" s="6" t="s">
        <v>23</v>
      </c>
      <c r="E8" s="6" t="s">
        <v>24</v>
      </c>
      <c r="F8" s="6" t="s">
        <v>25</v>
      </c>
      <c r="G8" s="6" t="s">
        <v>17</v>
      </c>
      <c r="H8" s="6" t="s">
        <v>18</v>
      </c>
      <c r="I8" s="6" t="s">
        <v>19</v>
      </c>
    </row>
    <row r="9" customFormat="false" ht="23.25" hidden="false" customHeight="true" outlineLevel="0" collapsed="false">
      <c r="A9" s="6" t="n">
        <v>4</v>
      </c>
      <c r="B9" s="6" t="s">
        <v>12</v>
      </c>
      <c r="C9" s="6" t="s">
        <v>13</v>
      </c>
      <c r="D9" s="6" t="s">
        <v>26</v>
      </c>
      <c r="E9" s="6" t="s">
        <v>27</v>
      </c>
      <c r="F9" s="6" t="s">
        <v>28</v>
      </c>
      <c r="G9" s="6" t="s">
        <v>17</v>
      </c>
      <c r="H9" s="6" t="s">
        <v>18</v>
      </c>
      <c r="I9" s="6" t="s">
        <v>19</v>
      </c>
    </row>
    <row r="10" customFormat="false" ht="23.25" hidden="false" customHeight="true" outlineLevel="0" collapsed="false">
      <c r="A10" s="6" t="n">
        <v>5</v>
      </c>
      <c r="B10" s="6" t="s">
        <v>12</v>
      </c>
      <c r="C10" s="6" t="s">
        <v>13</v>
      </c>
      <c r="D10" s="6" t="s">
        <v>29</v>
      </c>
      <c r="E10" s="6" t="s">
        <v>30</v>
      </c>
      <c r="F10" s="6" t="s">
        <v>31</v>
      </c>
      <c r="G10" s="6" t="s">
        <v>17</v>
      </c>
      <c r="H10" s="6" t="s">
        <v>18</v>
      </c>
      <c r="I10" s="6" t="s">
        <v>19</v>
      </c>
    </row>
    <row r="11" customFormat="false" ht="23.25" hidden="false" customHeight="true" outlineLevel="0" collapsed="false">
      <c r="A11" s="6" t="n">
        <v>6</v>
      </c>
      <c r="B11" s="6" t="s">
        <v>12</v>
      </c>
      <c r="C11" s="6" t="s">
        <v>13</v>
      </c>
      <c r="D11" s="6" t="s">
        <v>32</v>
      </c>
      <c r="E11" s="6" t="s">
        <v>33</v>
      </c>
      <c r="F11" s="6" t="s">
        <v>34</v>
      </c>
      <c r="G11" s="6" t="s">
        <v>17</v>
      </c>
      <c r="H11" s="6" t="s">
        <v>18</v>
      </c>
      <c r="I11" s="6" t="s">
        <v>19</v>
      </c>
    </row>
    <row r="12" customFormat="false" ht="34.5" hidden="false" customHeight="true" outlineLevel="0" collapsed="false">
      <c r="A12" s="6" t="n">
        <v>7</v>
      </c>
      <c r="B12" s="6" t="s">
        <v>12</v>
      </c>
      <c r="C12" s="6" t="s">
        <v>13</v>
      </c>
      <c r="D12" s="6" t="s">
        <v>35</v>
      </c>
      <c r="E12" s="6" t="s">
        <v>36</v>
      </c>
      <c r="F12" s="6" t="s">
        <v>37</v>
      </c>
      <c r="G12" s="6" t="s">
        <v>17</v>
      </c>
      <c r="H12" s="6" t="s">
        <v>18</v>
      </c>
      <c r="I12" s="6" t="s">
        <v>19</v>
      </c>
    </row>
    <row r="13" customFormat="false" ht="23.25" hidden="false" customHeight="true" outlineLevel="0" collapsed="false">
      <c r="A13" s="6" t="n">
        <v>8</v>
      </c>
      <c r="B13" s="6" t="s">
        <v>12</v>
      </c>
      <c r="C13" s="6" t="s">
        <v>13</v>
      </c>
      <c r="D13" s="6" t="s">
        <v>38</v>
      </c>
      <c r="E13" s="6" t="s">
        <v>39</v>
      </c>
      <c r="F13" s="6" t="s">
        <v>40</v>
      </c>
      <c r="G13" s="6" t="s">
        <v>17</v>
      </c>
      <c r="H13" s="6" t="s">
        <v>18</v>
      </c>
      <c r="I13" s="6" t="s">
        <v>19</v>
      </c>
    </row>
    <row r="14" customFormat="false" ht="23.25" hidden="false" customHeight="true" outlineLevel="0" collapsed="false">
      <c r="A14" s="6" t="n">
        <v>9</v>
      </c>
      <c r="B14" s="6" t="s">
        <v>12</v>
      </c>
      <c r="C14" s="6" t="s">
        <v>13</v>
      </c>
      <c r="D14" s="6" t="s">
        <v>41</v>
      </c>
      <c r="E14" s="6" t="s">
        <v>42</v>
      </c>
      <c r="F14" s="6" t="s">
        <v>43</v>
      </c>
      <c r="G14" s="6" t="s">
        <v>17</v>
      </c>
      <c r="H14" s="6" t="s">
        <v>18</v>
      </c>
      <c r="I14" s="6" t="s">
        <v>44</v>
      </c>
    </row>
    <row r="15" customFormat="false" ht="23.25" hidden="false" customHeight="true" outlineLevel="0" collapsed="false">
      <c r="A15" s="6" t="n">
        <v>10</v>
      </c>
      <c r="B15" s="6" t="s">
        <v>12</v>
      </c>
      <c r="C15" s="6" t="s">
        <v>13</v>
      </c>
      <c r="D15" s="6" t="s">
        <v>45</v>
      </c>
      <c r="E15" s="6" t="s">
        <v>46</v>
      </c>
      <c r="F15" s="6" t="s">
        <v>47</v>
      </c>
      <c r="G15" s="6" t="s">
        <v>17</v>
      </c>
      <c r="H15" s="6" t="s">
        <v>18</v>
      </c>
      <c r="I15" s="6" t="s">
        <v>48</v>
      </c>
    </row>
    <row r="16" customFormat="false" ht="23.25" hidden="false" customHeight="true" outlineLevel="0" collapsed="false">
      <c r="A16" s="6" t="n">
        <v>11</v>
      </c>
      <c r="B16" s="6" t="s">
        <v>12</v>
      </c>
      <c r="C16" s="6" t="s">
        <v>13</v>
      </c>
      <c r="D16" s="6" t="s">
        <v>49</v>
      </c>
      <c r="E16" s="6" t="s">
        <v>50</v>
      </c>
      <c r="F16" s="6" t="s">
        <v>51</v>
      </c>
      <c r="G16" s="6" t="s">
        <v>17</v>
      </c>
      <c r="H16" s="6"/>
      <c r="I16" s="6" t="s">
        <v>52</v>
      </c>
    </row>
    <row r="17" customFormat="false" ht="23.25" hidden="false" customHeight="true" outlineLevel="0" collapsed="false">
      <c r="A17" s="6" t="n">
        <v>12</v>
      </c>
      <c r="B17" s="6" t="s">
        <v>12</v>
      </c>
      <c r="C17" s="6" t="s">
        <v>13</v>
      </c>
      <c r="D17" s="6" t="s">
        <v>53</v>
      </c>
      <c r="E17" s="6" t="s">
        <v>54</v>
      </c>
      <c r="F17" s="6" t="s">
        <v>55</v>
      </c>
      <c r="G17" s="6" t="s">
        <v>17</v>
      </c>
      <c r="H17" s="6" t="s">
        <v>18</v>
      </c>
      <c r="I17" s="6" t="s">
        <v>19</v>
      </c>
    </row>
    <row r="18" customFormat="false" ht="34.5" hidden="false" customHeight="true" outlineLevel="0" collapsed="false">
      <c r="A18" s="6" t="n">
        <v>13</v>
      </c>
      <c r="B18" s="6" t="s">
        <v>12</v>
      </c>
      <c r="C18" s="6" t="s">
        <v>13</v>
      </c>
      <c r="D18" s="6" t="s">
        <v>56</v>
      </c>
      <c r="E18" s="6" t="s">
        <v>57</v>
      </c>
      <c r="F18" s="6" t="s">
        <v>58</v>
      </c>
      <c r="G18" s="6" t="s">
        <v>17</v>
      </c>
      <c r="H18" s="6" t="s">
        <v>18</v>
      </c>
      <c r="I18" s="6" t="s">
        <v>19</v>
      </c>
    </row>
    <row r="19" customFormat="false" ht="23.25" hidden="false" customHeight="true" outlineLevel="0" collapsed="false">
      <c r="A19" s="6" t="n">
        <v>14</v>
      </c>
      <c r="B19" s="6" t="s">
        <v>12</v>
      </c>
      <c r="C19" s="6" t="s">
        <v>59</v>
      </c>
      <c r="D19" s="6" t="s">
        <v>60</v>
      </c>
      <c r="E19" s="6" t="s">
        <v>61</v>
      </c>
      <c r="F19" s="6" t="s">
        <v>62</v>
      </c>
      <c r="G19" s="6" t="s">
        <v>63</v>
      </c>
      <c r="H19" s="6" t="s">
        <v>18</v>
      </c>
      <c r="I19" s="6" t="s">
        <v>64</v>
      </c>
    </row>
    <row r="20" customFormat="false" ht="15" hidden="false" customHeight="true" outlineLevel="0" collapsed="false">
      <c r="A20" s="5"/>
      <c r="B20" s="5" t="s">
        <v>65</v>
      </c>
      <c r="C20" s="5"/>
      <c r="D20" s="5"/>
      <c r="E20" s="5"/>
      <c r="F20" s="5"/>
      <c r="G20" s="5"/>
      <c r="H20" s="5"/>
      <c r="I20" s="5"/>
    </row>
    <row r="21" customFormat="false" ht="23.25" hidden="false" customHeight="true" outlineLevel="0" collapsed="false">
      <c r="A21" s="7" t="n">
        <v>15</v>
      </c>
      <c r="B21" s="7" t="s">
        <v>66</v>
      </c>
      <c r="C21" s="7"/>
      <c r="D21" s="7"/>
      <c r="E21" s="7" t="s">
        <v>67</v>
      </c>
      <c r="F21" s="7" t="s">
        <v>68</v>
      </c>
      <c r="G21" s="7" t="s">
        <v>69</v>
      </c>
      <c r="H21" s="8"/>
      <c r="I21" s="8"/>
    </row>
    <row r="22" customFormat="false" ht="34.5" hidden="false" customHeight="true" outlineLevel="0" collapsed="false">
      <c r="A22" s="7" t="n">
        <v>16</v>
      </c>
      <c r="B22" s="7" t="s">
        <v>66</v>
      </c>
      <c r="C22" s="7" t="s">
        <v>70</v>
      </c>
      <c r="D22" s="7" t="s">
        <v>71</v>
      </c>
      <c r="E22" s="7" t="s">
        <v>72</v>
      </c>
      <c r="F22" s="7" t="s">
        <v>73</v>
      </c>
      <c r="G22" s="7" t="s">
        <v>69</v>
      </c>
      <c r="H22" s="8"/>
      <c r="I22" s="8"/>
    </row>
    <row r="23" customFormat="false" ht="23.25" hidden="false" customHeight="true" outlineLevel="0" collapsed="false">
      <c r="A23" s="7" t="n">
        <v>17</v>
      </c>
      <c r="B23" s="7" t="s">
        <v>66</v>
      </c>
      <c r="C23" s="7"/>
      <c r="D23" s="7"/>
      <c r="E23" s="7" t="s">
        <v>74</v>
      </c>
      <c r="F23" s="7" t="s">
        <v>68</v>
      </c>
      <c r="G23" s="7" t="s">
        <v>69</v>
      </c>
      <c r="H23" s="8"/>
      <c r="I23" s="8"/>
    </row>
    <row r="24" customFormat="false" ht="23.25" hidden="false" customHeight="true" outlineLevel="0" collapsed="false">
      <c r="A24" s="7" t="n">
        <v>18</v>
      </c>
      <c r="B24" s="7" t="s">
        <v>66</v>
      </c>
      <c r="C24" s="7"/>
      <c r="D24" s="7"/>
      <c r="E24" s="7" t="s">
        <v>75</v>
      </c>
      <c r="F24" s="7" t="s">
        <v>68</v>
      </c>
      <c r="G24" s="7" t="s">
        <v>69</v>
      </c>
      <c r="H24" s="8"/>
      <c r="I24" s="8"/>
    </row>
    <row r="25" customFormat="false" ht="34.5" hidden="false" customHeight="true" outlineLevel="0" collapsed="false">
      <c r="A25" s="7" t="n">
        <v>19</v>
      </c>
      <c r="B25" s="7" t="s">
        <v>66</v>
      </c>
      <c r="C25" s="7" t="s">
        <v>76</v>
      </c>
      <c r="D25" s="7" t="s">
        <v>77</v>
      </c>
      <c r="E25" s="7" t="s">
        <v>78</v>
      </c>
      <c r="F25" s="7" t="s">
        <v>79</v>
      </c>
      <c r="G25" s="7" t="s">
        <v>69</v>
      </c>
      <c r="H25" s="8"/>
      <c r="I25" s="8"/>
    </row>
    <row r="26" customFormat="false" ht="23.25" hidden="false" customHeight="true" outlineLevel="0" collapsed="false">
      <c r="A26" s="7" t="n">
        <v>20</v>
      </c>
      <c r="B26" s="7" t="s">
        <v>66</v>
      </c>
      <c r="C26" s="7"/>
      <c r="D26" s="7"/>
      <c r="E26" s="7" t="s">
        <v>80</v>
      </c>
      <c r="F26" s="7" t="s">
        <v>68</v>
      </c>
      <c r="G26" s="7" t="s">
        <v>69</v>
      </c>
      <c r="H26" s="8"/>
      <c r="I26" s="8"/>
    </row>
    <row r="27" customFormat="false" ht="15" hidden="false" customHeight="true" outlineLevel="0" collapsed="false">
      <c r="A27" s="5"/>
      <c r="B27" s="5" t="s">
        <v>81</v>
      </c>
      <c r="C27" s="5"/>
      <c r="D27" s="5"/>
      <c r="E27" s="5"/>
      <c r="F27" s="5"/>
      <c r="G27" s="5"/>
      <c r="H27" s="5"/>
      <c r="I27" s="5"/>
    </row>
    <row r="28" customFormat="false" ht="23.25" hidden="false" customHeight="true" outlineLevel="0" collapsed="false">
      <c r="A28" s="7" t="n">
        <v>21</v>
      </c>
      <c r="B28" s="7" t="s">
        <v>82</v>
      </c>
      <c r="C28" s="7" t="s">
        <v>13</v>
      </c>
      <c r="D28" s="7" t="s">
        <v>71</v>
      </c>
      <c r="E28" s="7" t="s">
        <v>83</v>
      </c>
      <c r="F28" s="7" t="s">
        <v>84</v>
      </c>
      <c r="G28" s="7" t="s">
        <v>85</v>
      </c>
      <c r="H28" s="8"/>
      <c r="I28" s="8"/>
    </row>
    <row r="29" customFormat="false" ht="34.5" hidden="false" customHeight="true" outlineLevel="0" collapsed="false">
      <c r="A29" s="7" t="n">
        <v>22</v>
      </c>
      <c r="B29" s="7" t="s">
        <v>82</v>
      </c>
      <c r="C29" s="7" t="s">
        <v>13</v>
      </c>
      <c r="D29" s="7" t="s">
        <v>86</v>
      </c>
      <c r="E29" s="7" t="s">
        <v>83</v>
      </c>
      <c r="F29" s="7" t="s">
        <v>87</v>
      </c>
      <c r="G29" s="7" t="s">
        <v>85</v>
      </c>
      <c r="H29" s="8"/>
      <c r="I29" s="8"/>
    </row>
    <row r="30" customFormat="false" ht="23.25" hidden="false" customHeight="true" outlineLevel="0" collapsed="false">
      <c r="A30" s="6" t="n">
        <v>23</v>
      </c>
      <c r="B30" s="6" t="s">
        <v>82</v>
      </c>
      <c r="C30" s="6" t="s">
        <v>88</v>
      </c>
      <c r="D30" s="6" t="s">
        <v>89</v>
      </c>
      <c r="E30" s="6" t="s">
        <v>83</v>
      </c>
      <c r="F30" s="6" t="s">
        <v>90</v>
      </c>
      <c r="G30" s="6" t="s">
        <v>85</v>
      </c>
      <c r="H30" s="6" t="s">
        <v>91</v>
      </c>
      <c r="I30" s="6" t="s">
        <v>92</v>
      </c>
    </row>
    <row r="31" customFormat="false" ht="15" hidden="false" customHeight="true" outlineLevel="0" collapsed="false">
      <c r="A31" s="7" t="n">
        <v>24</v>
      </c>
      <c r="B31" s="7" t="s">
        <v>82</v>
      </c>
      <c r="C31" s="7" t="s">
        <v>70</v>
      </c>
      <c r="D31" s="7" t="s">
        <v>93</v>
      </c>
      <c r="E31" s="7" t="s">
        <v>83</v>
      </c>
      <c r="F31" s="7" t="s">
        <v>94</v>
      </c>
      <c r="G31" s="7" t="s">
        <v>85</v>
      </c>
      <c r="H31" s="8"/>
      <c r="I31" s="8"/>
    </row>
    <row r="32" customFormat="false" ht="23.25" hidden="false" customHeight="true" outlineLevel="0" collapsed="false">
      <c r="A32" s="7" t="n">
        <v>25</v>
      </c>
      <c r="B32" s="7" t="s">
        <v>82</v>
      </c>
      <c r="C32" s="7" t="s">
        <v>95</v>
      </c>
      <c r="D32" s="7" t="s">
        <v>96</v>
      </c>
      <c r="E32" s="7" t="s">
        <v>83</v>
      </c>
      <c r="F32" s="7" t="s">
        <v>97</v>
      </c>
      <c r="G32" s="7" t="s">
        <v>85</v>
      </c>
      <c r="H32" s="8"/>
      <c r="I32" s="8" t="s">
        <v>98</v>
      </c>
    </row>
    <row r="33" customFormat="false" ht="23.25" hidden="false" customHeight="true" outlineLevel="0" collapsed="false">
      <c r="A33" s="6" t="n">
        <v>26</v>
      </c>
      <c r="B33" s="6" t="s">
        <v>82</v>
      </c>
      <c r="C33" s="6" t="s">
        <v>95</v>
      </c>
      <c r="D33" s="6" t="s">
        <v>99</v>
      </c>
      <c r="E33" s="6" t="s">
        <v>83</v>
      </c>
      <c r="F33" s="6" t="s">
        <v>100</v>
      </c>
      <c r="G33" s="6" t="s">
        <v>101</v>
      </c>
      <c r="H33" s="6" t="s">
        <v>91</v>
      </c>
      <c r="I33" s="6" t="s">
        <v>102</v>
      </c>
    </row>
    <row r="34" customFormat="false" ht="23.25" hidden="false" customHeight="true" outlineLevel="0" collapsed="false">
      <c r="A34" s="6" t="n">
        <v>27</v>
      </c>
      <c r="B34" s="6" t="s">
        <v>82</v>
      </c>
      <c r="C34" s="6" t="s">
        <v>95</v>
      </c>
      <c r="D34" s="6" t="s">
        <v>103</v>
      </c>
      <c r="E34" s="6" t="s">
        <v>83</v>
      </c>
      <c r="F34" s="6" t="s">
        <v>104</v>
      </c>
      <c r="G34" s="6" t="s">
        <v>101</v>
      </c>
      <c r="H34" s="6" t="s">
        <v>91</v>
      </c>
      <c r="I34" s="6" t="s">
        <v>102</v>
      </c>
    </row>
    <row r="35" customFormat="false" ht="23.25" hidden="false" customHeight="true" outlineLevel="0" collapsed="false">
      <c r="A35" s="6" t="n">
        <v>28</v>
      </c>
      <c r="B35" s="6" t="s">
        <v>82</v>
      </c>
      <c r="C35" s="6" t="s">
        <v>95</v>
      </c>
      <c r="D35" s="6" t="s">
        <v>105</v>
      </c>
      <c r="E35" s="6" t="s">
        <v>83</v>
      </c>
      <c r="F35" s="6" t="s">
        <v>106</v>
      </c>
      <c r="G35" s="6" t="s">
        <v>85</v>
      </c>
      <c r="H35" s="6" t="s">
        <v>91</v>
      </c>
      <c r="I35" s="6" t="s">
        <v>107</v>
      </c>
    </row>
    <row r="36" customFormat="false" ht="23.25" hidden="false" customHeight="true" outlineLevel="0" collapsed="false">
      <c r="A36" s="6" t="n">
        <v>29</v>
      </c>
      <c r="B36" s="6" t="s">
        <v>82</v>
      </c>
      <c r="C36" s="6" t="s">
        <v>95</v>
      </c>
      <c r="D36" s="6" t="s">
        <v>108</v>
      </c>
      <c r="E36" s="6" t="s">
        <v>83</v>
      </c>
      <c r="F36" s="6" t="s">
        <v>109</v>
      </c>
      <c r="G36" s="6" t="s">
        <v>85</v>
      </c>
      <c r="H36" s="6" t="s">
        <v>91</v>
      </c>
      <c r="I36" s="6" t="s">
        <v>110</v>
      </c>
    </row>
    <row r="37" customFormat="false" ht="23.25" hidden="false" customHeight="true" outlineLevel="0" collapsed="false">
      <c r="A37" s="6" t="n">
        <v>30</v>
      </c>
      <c r="B37" s="6" t="s">
        <v>82</v>
      </c>
      <c r="C37" s="6" t="s">
        <v>95</v>
      </c>
      <c r="D37" s="6" t="s">
        <v>111</v>
      </c>
      <c r="E37" s="6" t="s">
        <v>83</v>
      </c>
      <c r="F37" s="6" t="s">
        <v>112</v>
      </c>
      <c r="G37" s="6" t="s">
        <v>85</v>
      </c>
      <c r="H37" s="6" t="s">
        <v>91</v>
      </c>
      <c r="I37" s="6" t="s">
        <v>107</v>
      </c>
    </row>
    <row r="38" customFormat="false" ht="23.25" hidden="false" customHeight="true" outlineLevel="0" collapsed="false">
      <c r="A38" s="6" t="n">
        <v>31</v>
      </c>
      <c r="B38" s="6" t="s">
        <v>82</v>
      </c>
      <c r="C38" s="6" t="s">
        <v>95</v>
      </c>
      <c r="D38" s="6" t="s">
        <v>113</v>
      </c>
      <c r="E38" s="6" t="s">
        <v>83</v>
      </c>
      <c r="F38" s="6" t="s">
        <v>114</v>
      </c>
      <c r="G38" s="6" t="s">
        <v>85</v>
      </c>
      <c r="H38" s="6" t="s">
        <v>91</v>
      </c>
      <c r="I38" s="6" t="s">
        <v>115</v>
      </c>
    </row>
    <row r="39" customFormat="false" ht="23.25" hidden="false" customHeight="true" outlineLevel="0" collapsed="false">
      <c r="A39" s="6" t="n">
        <v>32</v>
      </c>
      <c r="B39" s="6" t="s">
        <v>82</v>
      </c>
      <c r="C39" s="6" t="s">
        <v>95</v>
      </c>
      <c r="D39" s="6" t="s">
        <v>116</v>
      </c>
      <c r="E39" s="6" t="s">
        <v>83</v>
      </c>
      <c r="F39" s="6" t="s">
        <v>117</v>
      </c>
      <c r="G39" s="6" t="s">
        <v>85</v>
      </c>
      <c r="H39" s="6" t="s">
        <v>91</v>
      </c>
      <c r="I39" s="6" t="s">
        <v>118</v>
      </c>
    </row>
    <row r="40" customFormat="false" ht="23.25" hidden="false" customHeight="true" outlineLevel="0" collapsed="false">
      <c r="A40" s="6" t="n">
        <v>33</v>
      </c>
      <c r="B40" s="6" t="s">
        <v>82</v>
      </c>
      <c r="C40" s="6" t="s">
        <v>95</v>
      </c>
      <c r="D40" s="6" t="s">
        <v>119</v>
      </c>
      <c r="E40" s="6" t="s">
        <v>83</v>
      </c>
      <c r="F40" s="6" t="s">
        <v>120</v>
      </c>
      <c r="G40" s="6" t="s">
        <v>85</v>
      </c>
      <c r="H40" s="6" t="s">
        <v>91</v>
      </c>
      <c r="I40" s="6" t="s">
        <v>107</v>
      </c>
    </row>
    <row r="41" customFormat="false" ht="23.25" hidden="false" customHeight="true" outlineLevel="0" collapsed="false">
      <c r="A41" s="6" t="n">
        <v>34</v>
      </c>
      <c r="B41" s="6" t="s">
        <v>82</v>
      </c>
      <c r="C41" s="6" t="s">
        <v>95</v>
      </c>
      <c r="D41" s="6" t="s">
        <v>121</v>
      </c>
      <c r="E41" s="6" t="s">
        <v>83</v>
      </c>
      <c r="F41" s="6" t="s">
        <v>122</v>
      </c>
      <c r="G41" s="6" t="s">
        <v>85</v>
      </c>
      <c r="H41" s="6" t="s">
        <v>91</v>
      </c>
      <c r="I41" s="6" t="s">
        <v>110</v>
      </c>
    </row>
    <row r="42" customFormat="false" ht="23.25" hidden="false" customHeight="true" outlineLevel="0" collapsed="false">
      <c r="A42" s="6" t="n">
        <v>35</v>
      </c>
      <c r="B42" s="6" t="s">
        <v>82</v>
      </c>
      <c r="C42" s="6" t="s">
        <v>95</v>
      </c>
      <c r="D42" s="6" t="s">
        <v>123</v>
      </c>
      <c r="E42" s="6" t="s">
        <v>83</v>
      </c>
      <c r="F42" s="6" t="s">
        <v>124</v>
      </c>
      <c r="G42" s="6" t="s">
        <v>101</v>
      </c>
      <c r="H42" s="6" t="s">
        <v>91</v>
      </c>
      <c r="I42" s="6" t="s">
        <v>102</v>
      </c>
    </row>
    <row r="43" customFormat="false" ht="23.25" hidden="false" customHeight="true" outlineLevel="0" collapsed="false">
      <c r="A43" s="6" t="n">
        <v>36</v>
      </c>
      <c r="B43" s="6" t="s">
        <v>82</v>
      </c>
      <c r="C43" s="6" t="s">
        <v>95</v>
      </c>
      <c r="D43" s="6" t="s">
        <v>125</v>
      </c>
      <c r="E43" s="6" t="s">
        <v>83</v>
      </c>
      <c r="F43" s="6" t="s">
        <v>126</v>
      </c>
      <c r="G43" s="6" t="s">
        <v>101</v>
      </c>
      <c r="H43" s="6" t="s">
        <v>91</v>
      </c>
      <c r="I43" s="6" t="s">
        <v>102</v>
      </c>
    </row>
    <row r="44" customFormat="false" ht="23.25" hidden="false" customHeight="true" outlineLevel="0" collapsed="false">
      <c r="A44" s="6" t="n">
        <v>37</v>
      </c>
      <c r="B44" s="6" t="s">
        <v>82</v>
      </c>
      <c r="C44" s="6" t="s">
        <v>95</v>
      </c>
      <c r="D44" s="6" t="s">
        <v>127</v>
      </c>
      <c r="E44" s="6" t="s">
        <v>83</v>
      </c>
      <c r="F44" s="6" t="s">
        <v>128</v>
      </c>
      <c r="G44" s="6" t="s">
        <v>101</v>
      </c>
      <c r="H44" s="6" t="s">
        <v>91</v>
      </c>
      <c r="I44" s="6" t="s">
        <v>102</v>
      </c>
    </row>
    <row r="45" customFormat="false" ht="23.25" hidden="false" customHeight="true" outlineLevel="0" collapsed="false">
      <c r="A45" s="6" t="n">
        <v>38</v>
      </c>
      <c r="B45" s="6" t="s">
        <v>82</v>
      </c>
      <c r="C45" s="6" t="s">
        <v>95</v>
      </c>
      <c r="D45" s="6" t="s">
        <v>129</v>
      </c>
      <c r="E45" s="6" t="s">
        <v>83</v>
      </c>
      <c r="F45" s="6" t="s">
        <v>130</v>
      </c>
      <c r="G45" s="6" t="s">
        <v>101</v>
      </c>
      <c r="H45" s="6" t="s">
        <v>91</v>
      </c>
      <c r="I45" s="6" t="s">
        <v>102</v>
      </c>
    </row>
    <row r="46" customFormat="false" ht="23.25" hidden="false" customHeight="true" outlineLevel="0" collapsed="false">
      <c r="A46" s="6" t="n">
        <v>39</v>
      </c>
      <c r="B46" s="6" t="s">
        <v>82</v>
      </c>
      <c r="C46" s="6" t="s">
        <v>95</v>
      </c>
      <c r="D46" s="6" t="s">
        <v>131</v>
      </c>
      <c r="E46" s="6" t="s">
        <v>83</v>
      </c>
      <c r="F46" s="6" t="s">
        <v>132</v>
      </c>
      <c r="G46" s="6" t="s">
        <v>101</v>
      </c>
      <c r="H46" s="6" t="s">
        <v>91</v>
      </c>
      <c r="I46" s="6" t="s">
        <v>102</v>
      </c>
    </row>
    <row r="47" customFormat="false" ht="23.25" hidden="false" customHeight="true" outlineLevel="0" collapsed="false">
      <c r="A47" s="6" t="n">
        <v>40</v>
      </c>
      <c r="B47" s="6" t="s">
        <v>82</v>
      </c>
      <c r="C47" s="6" t="s">
        <v>95</v>
      </c>
      <c r="D47" s="6" t="s">
        <v>133</v>
      </c>
      <c r="E47" s="6" t="s">
        <v>83</v>
      </c>
      <c r="F47" s="6" t="s">
        <v>134</v>
      </c>
      <c r="G47" s="6" t="s">
        <v>101</v>
      </c>
      <c r="H47" s="6" t="s">
        <v>91</v>
      </c>
      <c r="I47" s="6" t="s">
        <v>102</v>
      </c>
    </row>
    <row r="48" customFormat="false" ht="23.25" hidden="false" customHeight="true" outlineLevel="0" collapsed="false">
      <c r="A48" s="6" t="n">
        <v>41</v>
      </c>
      <c r="B48" s="6" t="s">
        <v>82</v>
      </c>
      <c r="C48" s="6" t="s">
        <v>135</v>
      </c>
      <c r="D48" s="6" t="s">
        <v>38</v>
      </c>
      <c r="E48" s="6" t="s">
        <v>83</v>
      </c>
      <c r="F48" s="6" t="s">
        <v>136</v>
      </c>
      <c r="G48" s="6" t="s">
        <v>101</v>
      </c>
      <c r="H48" s="6" t="s">
        <v>91</v>
      </c>
      <c r="I48" s="6" t="s">
        <v>102</v>
      </c>
    </row>
    <row r="49" customFormat="false" ht="23.25" hidden="false" customHeight="true" outlineLevel="0" collapsed="false">
      <c r="A49" s="6" t="n">
        <v>42</v>
      </c>
      <c r="B49" s="6" t="s">
        <v>82</v>
      </c>
      <c r="C49" s="6" t="s">
        <v>135</v>
      </c>
      <c r="D49" s="6" t="s">
        <v>137</v>
      </c>
      <c r="E49" s="6" t="s">
        <v>83</v>
      </c>
      <c r="F49" s="6" t="s">
        <v>138</v>
      </c>
      <c r="G49" s="6" t="s">
        <v>101</v>
      </c>
      <c r="H49" s="6" t="s">
        <v>91</v>
      </c>
      <c r="I49" s="6" t="s">
        <v>102</v>
      </c>
    </row>
    <row r="50" customFormat="false" ht="23.25" hidden="false" customHeight="true" outlineLevel="0" collapsed="false">
      <c r="A50" s="7" t="n">
        <v>43</v>
      </c>
      <c r="B50" s="7" t="s">
        <v>82</v>
      </c>
      <c r="C50" s="7" t="s">
        <v>135</v>
      </c>
      <c r="D50" s="7" t="s">
        <v>96</v>
      </c>
      <c r="E50" s="7" t="s">
        <v>83</v>
      </c>
      <c r="F50" s="7" t="s">
        <v>139</v>
      </c>
      <c r="G50" s="7" t="s">
        <v>85</v>
      </c>
      <c r="H50" s="8"/>
      <c r="I50" s="8" t="s">
        <v>140</v>
      </c>
    </row>
    <row r="51" customFormat="false" ht="23.25" hidden="false" customHeight="true" outlineLevel="0" collapsed="false">
      <c r="A51" s="6" t="n">
        <v>44</v>
      </c>
      <c r="B51" s="6" t="s">
        <v>82</v>
      </c>
      <c r="C51" s="6" t="s">
        <v>135</v>
      </c>
      <c r="D51" s="6" t="s">
        <v>141</v>
      </c>
      <c r="E51" s="6" t="s">
        <v>83</v>
      </c>
      <c r="F51" s="6" t="s">
        <v>142</v>
      </c>
      <c r="G51" s="6" t="s">
        <v>101</v>
      </c>
      <c r="H51" s="6" t="s">
        <v>91</v>
      </c>
      <c r="I51" s="6" t="s">
        <v>102</v>
      </c>
    </row>
    <row r="52" customFormat="false" ht="23.25" hidden="false" customHeight="true" outlineLevel="0" collapsed="false">
      <c r="A52" s="6" t="n">
        <v>45</v>
      </c>
      <c r="B52" s="6" t="s">
        <v>82</v>
      </c>
      <c r="C52" s="6" t="s">
        <v>135</v>
      </c>
      <c r="D52" s="6" t="s">
        <v>143</v>
      </c>
      <c r="E52" s="6" t="s">
        <v>83</v>
      </c>
      <c r="F52" s="6" t="s">
        <v>144</v>
      </c>
      <c r="G52" s="6" t="s">
        <v>85</v>
      </c>
      <c r="H52" s="6" t="s">
        <v>91</v>
      </c>
      <c r="I52" s="6" t="s">
        <v>107</v>
      </c>
    </row>
    <row r="53" customFormat="false" ht="23.25" hidden="false" customHeight="true" outlineLevel="0" collapsed="false">
      <c r="A53" s="6" t="n">
        <v>46</v>
      </c>
      <c r="B53" s="6" t="s">
        <v>82</v>
      </c>
      <c r="C53" s="6" t="s">
        <v>135</v>
      </c>
      <c r="D53" s="6" t="s">
        <v>145</v>
      </c>
      <c r="E53" s="6" t="s">
        <v>83</v>
      </c>
      <c r="F53" s="6" t="s">
        <v>146</v>
      </c>
      <c r="G53" s="6" t="s">
        <v>85</v>
      </c>
      <c r="H53" s="6" t="s">
        <v>91</v>
      </c>
      <c r="I53" s="6" t="s">
        <v>107</v>
      </c>
    </row>
    <row r="54" customFormat="false" ht="23.25" hidden="false" customHeight="true" outlineLevel="0" collapsed="false">
      <c r="A54" s="6" t="n">
        <v>47</v>
      </c>
      <c r="B54" s="6" t="s">
        <v>82</v>
      </c>
      <c r="C54" s="6" t="s">
        <v>135</v>
      </c>
      <c r="D54" s="6" t="s">
        <v>147</v>
      </c>
      <c r="E54" s="6" t="s">
        <v>83</v>
      </c>
      <c r="F54" s="6" t="s">
        <v>148</v>
      </c>
      <c r="G54" s="6" t="s">
        <v>101</v>
      </c>
      <c r="H54" s="6" t="s">
        <v>91</v>
      </c>
      <c r="I54" s="6" t="s">
        <v>102</v>
      </c>
    </row>
    <row r="55" customFormat="false" ht="34.5" hidden="false" customHeight="true" outlineLevel="0" collapsed="false">
      <c r="A55" s="6" t="n">
        <v>48</v>
      </c>
      <c r="B55" s="6" t="s">
        <v>82</v>
      </c>
      <c r="C55" s="6" t="s">
        <v>135</v>
      </c>
      <c r="D55" s="6" t="s">
        <v>149</v>
      </c>
      <c r="E55" s="6" t="s">
        <v>83</v>
      </c>
      <c r="F55" s="6" t="s">
        <v>150</v>
      </c>
      <c r="G55" s="6" t="s">
        <v>85</v>
      </c>
      <c r="H55" s="6" t="s">
        <v>91</v>
      </c>
      <c r="I55" s="6" t="s">
        <v>151</v>
      </c>
    </row>
    <row r="56" customFormat="false" ht="23.25" hidden="false" customHeight="true" outlineLevel="0" collapsed="false">
      <c r="A56" s="6" t="n">
        <v>49</v>
      </c>
      <c r="B56" s="6" t="s">
        <v>82</v>
      </c>
      <c r="C56" s="6" t="s">
        <v>135</v>
      </c>
      <c r="D56" s="6" t="s">
        <v>152</v>
      </c>
      <c r="E56" s="6" t="s">
        <v>83</v>
      </c>
      <c r="F56" s="6" t="s">
        <v>153</v>
      </c>
      <c r="G56" s="6" t="s">
        <v>85</v>
      </c>
      <c r="H56" s="6" t="s">
        <v>91</v>
      </c>
      <c r="I56" s="6" t="s">
        <v>154</v>
      </c>
    </row>
    <row r="57" customFormat="false" ht="23.25" hidden="false" customHeight="true" outlineLevel="0" collapsed="false">
      <c r="A57" s="6" t="n">
        <v>50</v>
      </c>
      <c r="B57" s="6" t="s">
        <v>82</v>
      </c>
      <c r="C57" s="6" t="s">
        <v>135</v>
      </c>
      <c r="D57" s="6" t="s">
        <v>155</v>
      </c>
      <c r="E57" s="6" t="s">
        <v>83</v>
      </c>
      <c r="F57" s="6" t="s">
        <v>156</v>
      </c>
      <c r="G57" s="6" t="s">
        <v>101</v>
      </c>
      <c r="H57" s="6" t="s">
        <v>91</v>
      </c>
      <c r="I57" s="6" t="s">
        <v>102</v>
      </c>
    </row>
    <row r="58" customFormat="false" ht="23.25" hidden="false" customHeight="true" outlineLevel="0" collapsed="false">
      <c r="A58" s="6" t="n">
        <v>51</v>
      </c>
      <c r="B58" s="6" t="s">
        <v>82</v>
      </c>
      <c r="C58" s="6" t="s">
        <v>135</v>
      </c>
      <c r="D58" s="6" t="s">
        <v>157</v>
      </c>
      <c r="E58" s="6" t="s">
        <v>83</v>
      </c>
      <c r="F58" s="6" t="s">
        <v>158</v>
      </c>
      <c r="G58" s="6" t="s">
        <v>101</v>
      </c>
      <c r="H58" s="6" t="s">
        <v>91</v>
      </c>
      <c r="I58" s="6" t="s">
        <v>102</v>
      </c>
    </row>
    <row r="59" customFormat="false" ht="23.25" hidden="false" customHeight="true" outlineLevel="0" collapsed="false">
      <c r="A59" s="6" t="n">
        <v>52</v>
      </c>
      <c r="B59" s="6" t="s">
        <v>82</v>
      </c>
      <c r="C59" s="6" t="s">
        <v>135</v>
      </c>
      <c r="D59" s="6" t="s">
        <v>159</v>
      </c>
      <c r="E59" s="6" t="s">
        <v>83</v>
      </c>
      <c r="F59" s="6" t="s">
        <v>160</v>
      </c>
      <c r="G59" s="6" t="s">
        <v>101</v>
      </c>
      <c r="H59" s="6" t="s">
        <v>91</v>
      </c>
      <c r="I59" s="6" t="s">
        <v>102</v>
      </c>
    </row>
    <row r="60" customFormat="false" ht="23.25" hidden="false" customHeight="true" outlineLevel="0" collapsed="false">
      <c r="A60" s="6" t="n">
        <v>53</v>
      </c>
      <c r="B60" s="6" t="s">
        <v>82</v>
      </c>
      <c r="C60" s="6" t="s">
        <v>135</v>
      </c>
      <c r="D60" s="6" t="s">
        <v>161</v>
      </c>
      <c r="E60" s="6" t="s">
        <v>83</v>
      </c>
      <c r="F60" s="6" t="s">
        <v>162</v>
      </c>
      <c r="G60" s="6" t="s">
        <v>101</v>
      </c>
      <c r="H60" s="6" t="s">
        <v>91</v>
      </c>
      <c r="I60" s="6" t="s">
        <v>102</v>
      </c>
    </row>
    <row r="61" customFormat="false" ht="23.25" hidden="false" customHeight="true" outlineLevel="0" collapsed="false">
      <c r="A61" s="6" t="n">
        <v>54</v>
      </c>
      <c r="B61" s="6" t="s">
        <v>82</v>
      </c>
      <c r="C61" s="6" t="s">
        <v>59</v>
      </c>
      <c r="D61" s="6" t="s">
        <v>163</v>
      </c>
      <c r="E61" s="6" t="s">
        <v>83</v>
      </c>
      <c r="F61" s="6" t="s">
        <v>164</v>
      </c>
      <c r="G61" s="6" t="s">
        <v>85</v>
      </c>
      <c r="H61" s="6" t="s">
        <v>91</v>
      </c>
      <c r="I61" s="6" t="s">
        <v>165</v>
      </c>
    </row>
    <row r="62" customFormat="false" ht="23.25" hidden="false" customHeight="true" outlineLevel="0" collapsed="false">
      <c r="A62" s="6" t="n">
        <v>55</v>
      </c>
      <c r="B62" s="6" t="s">
        <v>82</v>
      </c>
      <c r="C62" s="6" t="s">
        <v>59</v>
      </c>
      <c r="D62" s="6" t="s">
        <v>166</v>
      </c>
      <c r="E62" s="6" t="s">
        <v>83</v>
      </c>
      <c r="F62" s="6" t="s">
        <v>167</v>
      </c>
      <c r="G62" s="6" t="s">
        <v>85</v>
      </c>
      <c r="H62" s="6" t="s">
        <v>91</v>
      </c>
      <c r="I62" s="6" t="s">
        <v>107</v>
      </c>
    </row>
    <row r="63" customFormat="false" ht="23.25" hidden="false" customHeight="true" outlineLevel="0" collapsed="false">
      <c r="A63" s="6" t="n">
        <v>56</v>
      </c>
      <c r="B63" s="6" t="s">
        <v>82</v>
      </c>
      <c r="C63" s="6" t="s">
        <v>59</v>
      </c>
      <c r="D63" s="6" t="s">
        <v>168</v>
      </c>
      <c r="E63" s="6" t="s">
        <v>83</v>
      </c>
      <c r="F63" s="6" t="s">
        <v>169</v>
      </c>
      <c r="G63" s="6" t="s">
        <v>85</v>
      </c>
      <c r="H63" s="6" t="s">
        <v>91</v>
      </c>
      <c r="I63" s="6" t="s">
        <v>118</v>
      </c>
    </row>
    <row r="64" customFormat="false" ht="23.25" hidden="false" customHeight="true" outlineLevel="0" collapsed="false">
      <c r="A64" s="6" t="n">
        <v>57</v>
      </c>
      <c r="B64" s="6" t="s">
        <v>82</v>
      </c>
      <c r="C64" s="6" t="s">
        <v>59</v>
      </c>
      <c r="D64" s="6" t="s">
        <v>170</v>
      </c>
      <c r="E64" s="6" t="s">
        <v>83</v>
      </c>
      <c r="F64" s="6" t="s">
        <v>171</v>
      </c>
      <c r="G64" s="6" t="s">
        <v>85</v>
      </c>
      <c r="H64" s="6" t="s">
        <v>91</v>
      </c>
      <c r="I64" s="6" t="s">
        <v>172</v>
      </c>
    </row>
    <row r="65" customFormat="false" ht="23.25" hidden="false" customHeight="true" outlineLevel="0" collapsed="false">
      <c r="A65" s="6" t="n">
        <v>58</v>
      </c>
      <c r="B65" s="6" t="s">
        <v>82</v>
      </c>
      <c r="C65" s="6" t="s">
        <v>59</v>
      </c>
      <c r="D65" s="6" t="s">
        <v>173</v>
      </c>
      <c r="E65" s="6" t="s">
        <v>83</v>
      </c>
      <c r="F65" s="6" t="s">
        <v>174</v>
      </c>
      <c r="G65" s="6" t="s">
        <v>85</v>
      </c>
      <c r="H65" s="6" t="s">
        <v>91</v>
      </c>
      <c r="I65" s="6" t="s">
        <v>118</v>
      </c>
    </row>
    <row r="66" customFormat="false" ht="23.25" hidden="false" customHeight="true" outlineLevel="0" collapsed="false">
      <c r="A66" s="6" t="n">
        <v>59</v>
      </c>
      <c r="B66" s="6" t="s">
        <v>82</v>
      </c>
      <c r="C66" s="6" t="s">
        <v>59</v>
      </c>
      <c r="D66" s="6" t="s">
        <v>175</v>
      </c>
      <c r="E66" s="6" t="s">
        <v>83</v>
      </c>
      <c r="F66" s="6" t="s">
        <v>176</v>
      </c>
      <c r="G66" s="6" t="s">
        <v>85</v>
      </c>
      <c r="H66" s="6" t="s">
        <v>91</v>
      </c>
      <c r="I66" s="6" t="s">
        <v>172</v>
      </c>
    </row>
    <row r="67" customFormat="false" ht="23.25" hidden="false" customHeight="true" outlineLevel="0" collapsed="false">
      <c r="A67" s="6" t="n">
        <v>60</v>
      </c>
      <c r="B67" s="6" t="s">
        <v>82</v>
      </c>
      <c r="C67" s="6" t="s">
        <v>59</v>
      </c>
      <c r="D67" s="6" t="s">
        <v>177</v>
      </c>
      <c r="E67" s="6" t="s">
        <v>83</v>
      </c>
      <c r="F67" s="6" t="s">
        <v>178</v>
      </c>
      <c r="G67" s="6" t="s">
        <v>85</v>
      </c>
      <c r="H67" s="6" t="s">
        <v>91</v>
      </c>
      <c r="I67" s="6" t="s">
        <v>107</v>
      </c>
    </row>
    <row r="68" customFormat="false" ht="23.25" hidden="false" customHeight="true" outlineLevel="0" collapsed="false">
      <c r="A68" s="6" t="n">
        <v>61</v>
      </c>
      <c r="B68" s="6" t="s">
        <v>82</v>
      </c>
      <c r="C68" s="6" t="s">
        <v>59</v>
      </c>
      <c r="D68" s="6" t="s">
        <v>179</v>
      </c>
      <c r="E68" s="6" t="s">
        <v>83</v>
      </c>
      <c r="F68" s="6" t="s">
        <v>180</v>
      </c>
      <c r="G68" s="6" t="s">
        <v>85</v>
      </c>
      <c r="H68" s="6" t="s">
        <v>91</v>
      </c>
      <c r="I68" s="6" t="s">
        <v>172</v>
      </c>
    </row>
    <row r="69" customFormat="false" ht="45.75" hidden="false" customHeight="true" outlineLevel="0" collapsed="false">
      <c r="A69" s="7" t="n">
        <v>62</v>
      </c>
      <c r="B69" s="7" t="s">
        <v>82</v>
      </c>
      <c r="C69" s="7" t="s">
        <v>76</v>
      </c>
      <c r="D69" s="7" t="s">
        <v>181</v>
      </c>
      <c r="E69" s="7" t="s">
        <v>83</v>
      </c>
      <c r="F69" s="7" t="s">
        <v>182</v>
      </c>
      <c r="G69" s="7" t="s">
        <v>85</v>
      </c>
      <c r="H69" s="8"/>
      <c r="I69" s="8"/>
    </row>
    <row r="70" customFormat="false" ht="15" hidden="false" customHeight="true" outlineLevel="0" collapsed="false">
      <c r="A70" s="5"/>
      <c r="B70" s="5" t="s">
        <v>183</v>
      </c>
      <c r="C70" s="5"/>
      <c r="D70" s="5"/>
      <c r="E70" s="5"/>
      <c r="F70" s="5"/>
      <c r="G70" s="5"/>
      <c r="H70" s="5"/>
      <c r="I70" s="5"/>
    </row>
    <row r="71" customFormat="false" ht="15" hidden="false" customHeight="true" outlineLevel="0" collapsed="false">
      <c r="A71" s="7" t="n">
        <v>63</v>
      </c>
      <c r="B71" s="7" t="s">
        <v>184</v>
      </c>
      <c r="C71" s="7" t="s">
        <v>59</v>
      </c>
      <c r="D71" s="7" t="s">
        <v>185</v>
      </c>
      <c r="E71" s="7" t="s">
        <v>186</v>
      </c>
      <c r="F71" s="7" t="s">
        <v>187</v>
      </c>
      <c r="G71" s="7" t="s">
        <v>188</v>
      </c>
      <c r="H71" s="8"/>
      <c r="I71" s="8" t="s">
        <v>189</v>
      </c>
    </row>
    <row r="72" customFormat="false" ht="23.25" hidden="false" customHeight="true" outlineLevel="0" collapsed="false">
      <c r="A72" s="7" t="n">
        <v>64</v>
      </c>
      <c r="B72" s="7" t="s">
        <v>184</v>
      </c>
      <c r="C72" s="7" t="s">
        <v>135</v>
      </c>
      <c r="D72" s="7" t="s">
        <v>190</v>
      </c>
      <c r="E72" s="7" t="s">
        <v>191</v>
      </c>
      <c r="F72" s="7" t="s">
        <v>192</v>
      </c>
      <c r="G72" s="7" t="s">
        <v>188</v>
      </c>
      <c r="H72" s="8"/>
      <c r="I72" s="8" t="s">
        <v>189</v>
      </c>
    </row>
    <row r="73" customFormat="false" ht="23.25" hidden="false" customHeight="true" outlineLevel="0" collapsed="false">
      <c r="A73" s="7" t="n">
        <v>65</v>
      </c>
      <c r="B73" s="7" t="s">
        <v>184</v>
      </c>
      <c r="C73" s="7" t="s">
        <v>95</v>
      </c>
      <c r="D73" s="7" t="s">
        <v>32</v>
      </c>
      <c r="E73" s="7" t="s">
        <v>193</v>
      </c>
      <c r="F73" s="7" t="s">
        <v>194</v>
      </c>
      <c r="G73" s="7" t="s">
        <v>188</v>
      </c>
      <c r="H73" s="8"/>
      <c r="I73" s="8" t="s">
        <v>189</v>
      </c>
    </row>
    <row r="74" customFormat="false" ht="23.25" hidden="false" customHeight="true" outlineLevel="0" collapsed="false">
      <c r="A74" s="7" t="n">
        <v>66</v>
      </c>
      <c r="B74" s="7" t="s">
        <v>184</v>
      </c>
      <c r="C74" s="7" t="s">
        <v>135</v>
      </c>
      <c r="D74" s="7" t="s">
        <v>23</v>
      </c>
      <c r="E74" s="7" t="s">
        <v>193</v>
      </c>
      <c r="F74" s="7" t="s">
        <v>194</v>
      </c>
      <c r="G74" s="7" t="s">
        <v>188</v>
      </c>
      <c r="H74" s="8"/>
      <c r="I74" s="8" t="s">
        <v>189</v>
      </c>
    </row>
    <row r="75" customFormat="false" ht="23.25" hidden="false" customHeight="true" outlineLevel="0" collapsed="false">
      <c r="A75" s="7" t="n">
        <v>67</v>
      </c>
      <c r="B75" s="7" t="s">
        <v>184</v>
      </c>
      <c r="C75" s="7" t="s">
        <v>59</v>
      </c>
      <c r="D75" s="7" t="s">
        <v>195</v>
      </c>
      <c r="E75" s="7" t="s">
        <v>193</v>
      </c>
      <c r="F75" s="7" t="s">
        <v>194</v>
      </c>
      <c r="G75" s="7" t="s">
        <v>188</v>
      </c>
      <c r="H75" s="8"/>
      <c r="I75" s="8" t="s">
        <v>189</v>
      </c>
    </row>
    <row r="76" customFormat="false" ht="23.25" hidden="false" customHeight="true" outlineLevel="0" collapsed="false">
      <c r="A76" s="7" t="n">
        <v>68</v>
      </c>
      <c r="B76" s="7" t="s">
        <v>184</v>
      </c>
      <c r="C76" s="7" t="s">
        <v>59</v>
      </c>
      <c r="D76" s="7" t="s">
        <v>196</v>
      </c>
      <c r="E76" s="7" t="s">
        <v>193</v>
      </c>
      <c r="F76" s="7" t="s">
        <v>194</v>
      </c>
      <c r="G76" s="7" t="s">
        <v>188</v>
      </c>
      <c r="H76" s="8"/>
      <c r="I76" s="8" t="s">
        <v>189</v>
      </c>
    </row>
    <row r="77" customFormat="false" ht="23.25" hidden="false" customHeight="true" outlineLevel="0" collapsed="false">
      <c r="A77" s="7" t="n">
        <v>69</v>
      </c>
      <c r="B77" s="7" t="s">
        <v>184</v>
      </c>
      <c r="C77" s="7" t="s">
        <v>13</v>
      </c>
      <c r="D77" s="7" t="s">
        <v>197</v>
      </c>
      <c r="E77" s="7" t="s">
        <v>193</v>
      </c>
      <c r="F77" s="7" t="s">
        <v>198</v>
      </c>
      <c r="G77" s="7" t="s">
        <v>188</v>
      </c>
      <c r="H77" s="8"/>
      <c r="I77" s="8" t="s">
        <v>189</v>
      </c>
    </row>
    <row r="78" customFormat="false" ht="15" hidden="false" customHeight="true" outlineLevel="0" collapsed="false">
      <c r="A78" s="7" t="n">
        <v>70</v>
      </c>
      <c r="B78" s="7" t="s">
        <v>184</v>
      </c>
      <c r="C78" s="7" t="s">
        <v>70</v>
      </c>
      <c r="D78" s="7" t="s">
        <v>29</v>
      </c>
      <c r="E78" s="7" t="s">
        <v>199</v>
      </c>
      <c r="F78" s="7" t="s">
        <v>192</v>
      </c>
      <c r="G78" s="7" t="s">
        <v>188</v>
      </c>
      <c r="H78" s="8"/>
      <c r="I78" s="8" t="s">
        <v>189</v>
      </c>
    </row>
    <row r="79" customFormat="false" ht="15" hidden="false" customHeight="true" outlineLevel="0" collapsed="false">
      <c r="A79" s="7" t="n">
        <v>71</v>
      </c>
      <c r="B79" s="7" t="s">
        <v>184</v>
      </c>
      <c r="C79" s="7" t="s">
        <v>95</v>
      </c>
      <c r="D79" s="7" t="s">
        <v>145</v>
      </c>
      <c r="E79" s="7" t="s">
        <v>200</v>
      </c>
      <c r="F79" s="7" t="s">
        <v>201</v>
      </c>
      <c r="G79" s="7" t="s">
        <v>188</v>
      </c>
      <c r="H79" s="8"/>
      <c r="I79" s="8" t="s">
        <v>189</v>
      </c>
    </row>
    <row r="80" customFormat="false" ht="23.25" hidden="false" customHeight="true" outlineLevel="0" collapsed="false">
      <c r="A80" s="7" t="n">
        <v>72</v>
      </c>
      <c r="B80" s="7" t="s">
        <v>184</v>
      </c>
      <c r="C80" s="7"/>
      <c r="D80" s="7"/>
      <c r="E80" s="7" t="s">
        <v>202</v>
      </c>
      <c r="F80" s="7" t="s">
        <v>203</v>
      </c>
      <c r="G80" s="7" t="s">
        <v>188</v>
      </c>
      <c r="H80" s="8"/>
      <c r="I80" s="8" t="s">
        <v>189</v>
      </c>
    </row>
    <row r="81" customFormat="false" ht="15" hidden="false" customHeight="true" outlineLevel="0" collapsed="false">
      <c r="A81" s="5"/>
      <c r="B81" s="5" t="s">
        <v>204</v>
      </c>
      <c r="C81" s="5"/>
      <c r="D81" s="5"/>
      <c r="E81" s="5"/>
      <c r="F81" s="5"/>
      <c r="G81" s="5"/>
      <c r="H81" s="5"/>
      <c r="I81" s="5"/>
    </row>
    <row r="82" customFormat="false" ht="34.5" hidden="false" customHeight="true" outlineLevel="0" collapsed="false">
      <c r="A82" s="7" t="n">
        <v>73</v>
      </c>
      <c r="B82" s="7" t="s">
        <v>205</v>
      </c>
      <c r="C82" s="7" t="s">
        <v>59</v>
      </c>
      <c r="D82" s="7" t="s">
        <v>93</v>
      </c>
      <c r="E82" s="7" t="s">
        <v>206</v>
      </c>
      <c r="F82" s="7" t="s">
        <v>207</v>
      </c>
      <c r="G82" s="7" t="s">
        <v>208</v>
      </c>
      <c r="H82" s="8"/>
      <c r="I82" s="8" t="s">
        <v>209</v>
      </c>
    </row>
    <row r="83" customFormat="false" ht="34.5" hidden="false" customHeight="true" outlineLevel="0" collapsed="false">
      <c r="A83" s="7" t="n">
        <v>74</v>
      </c>
      <c r="B83" s="7" t="s">
        <v>205</v>
      </c>
      <c r="C83" s="7" t="s">
        <v>59</v>
      </c>
      <c r="D83" s="7" t="s">
        <v>14</v>
      </c>
      <c r="E83" s="7" t="s">
        <v>206</v>
      </c>
      <c r="F83" s="7" t="s">
        <v>207</v>
      </c>
      <c r="G83" s="7" t="s">
        <v>208</v>
      </c>
      <c r="H83" s="8"/>
      <c r="I83" s="8" t="s">
        <v>209</v>
      </c>
    </row>
    <row r="84" customFormat="false" ht="34.5" hidden="false" customHeight="true" outlineLevel="0" collapsed="false">
      <c r="A84" s="7" t="n">
        <v>75</v>
      </c>
      <c r="B84" s="7" t="s">
        <v>205</v>
      </c>
      <c r="C84" s="7" t="s">
        <v>59</v>
      </c>
      <c r="D84" s="7" t="s">
        <v>210</v>
      </c>
      <c r="E84" s="7" t="s">
        <v>206</v>
      </c>
      <c r="F84" s="7" t="s">
        <v>207</v>
      </c>
      <c r="G84" s="7" t="s">
        <v>208</v>
      </c>
      <c r="H84" s="8"/>
      <c r="I84" s="8" t="s">
        <v>209</v>
      </c>
    </row>
    <row r="85" customFormat="false" ht="34.5" hidden="false" customHeight="true" outlineLevel="0" collapsed="false">
      <c r="A85" s="7" t="n">
        <v>76</v>
      </c>
      <c r="B85" s="7" t="s">
        <v>205</v>
      </c>
      <c r="C85" s="7" t="s">
        <v>59</v>
      </c>
      <c r="D85" s="7" t="s">
        <v>211</v>
      </c>
      <c r="E85" s="7" t="s">
        <v>206</v>
      </c>
      <c r="F85" s="7" t="s">
        <v>212</v>
      </c>
      <c r="G85" s="7" t="s">
        <v>208</v>
      </c>
      <c r="H85" s="8"/>
      <c r="I85" s="8" t="s">
        <v>209</v>
      </c>
    </row>
    <row r="86" customFormat="false" ht="34.5" hidden="false" customHeight="true" outlineLevel="0" collapsed="false">
      <c r="A86" s="7" t="n">
        <v>77</v>
      </c>
      <c r="B86" s="7" t="s">
        <v>205</v>
      </c>
      <c r="C86" s="7" t="s">
        <v>70</v>
      </c>
      <c r="D86" s="7" t="s">
        <v>213</v>
      </c>
      <c r="E86" s="7" t="s">
        <v>206</v>
      </c>
      <c r="F86" s="7" t="s">
        <v>214</v>
      </c>
      <c r="G86" s="7" t="s">
        <v>208</v>
      </c>
      <c r="H86" s="8"/>
      <c r="I86" s="8" t="s">
        <v>209</v>
      </c>
    </row>
    <row r="87" customFormat="false" ht="34.5" hidden="false" customHeight="true" outlineLevel="0" collapsed="false">
      <c r="A87" s="7" t="n">
        <v>78</v>
      </c>
      <c r="B87" s="7" t="s">
        <v>205</v>
      </c>
      <c r="C87" s="7" t="s">
        <v>70</v>
      </c>
      <c r="D87" s="7" t="s">
        <v>26</v>
      </c>
      <c r="E87" s="7" t="s">
        <v>206</v>
      </c>
      <c r="F87" s="7" t="s">
        <v>214</v>
      </c>
      <c r="G87" s="7" t="s">
        <v>208</v>
      </c>
      <c r="H87" s="8"/>
      <c r="I87" s="8" t="s">
        <v>209</v>
      </c>
    </row>
    <row r="88" customFormat="false" ht="34.5" hidden="false" customHeight="true" outlineLevel="0" collapsed="false">
      <c r="A88" s="7" t="n">
        <v>79</v>
      </c>
      <c r="B88" s="7" t="s">
        <v>205</v>
      </c>
      <c r="C88" s="7" t="s">
        <v>70</v>
      </c>
      <c r="D88" s="7" t="s">
        <v>32</v>
      </c>
      <c r="E88" s="7" t="s">
        <v>206</v>
      </c>
      <c r="F88" s="7" t="s">
        <v>214</v>
      </c>
      <c r="G88" s="7" t="s">
        <v>208</v>
      </c>
      <c r="H88" s="8"/>
      <c r="I88" s="8" t="s">
        <v>209</v>
      </c>
    </row>
    <row r="89" customFormat="false" ht="45.75" hidden="false" customHeight="true" outlineLevel="0" collapsed="false">
      <c r="A89" s="7" t="n">
        <v>80</v>
      </c>
      <c r="B89" s="7" t="s">
        <v>205</v>
      </c>
      <c r="C89" s="7" t="s">
        <v>76</v>
      </c>
      <c r="D89" s="7" t="s">
        <v>32</v>
      </c>
      <c r="E89" s="7" t="s">
        <v>215</v>
      </c>
      <c r="F89" s="7" t="s">
        <v>216</v>
      </c>
      <c r="G89" s="7" t="s">
        <v>208</v>
      </c>
      <c r="H89" s="8"/>
      <c r="I89" s="8" t="s">
        <v>209</v>
      </c>
    </row>
    <row r="90" customFormat="false" ht="15" hidden="false" customHeight="true" outlineLevel="0" collapsed="false">
      <c r="A90" s="5"/>
      <c r="B90" s="5" t="s">
        <v>217</v>
      </c>
      <c r="C90" s="5"/>
      <c r="D90" s="5"/>
      <c r="E90" s="5"/>
      <c r="F90" s="5"/>
      <c r="G90" s="5"/>
      <c r="H90" s="5"/>
      <c r="I90" s="5"/>
    </row>
    <row r="91" customFormat="false" ht="57" hidden="false" customHeight="true" outlineLevel="0" collapsed="false">
      <c r="A91" s="7" t="n">
        <v>81</v>
      </c>
      <c r="B91" s="7" t="s">
        <v>218</v>
      </c>
      <c r="C91" s="7" t="s">
        <v>219</v>
      </c>
      <c r="D91" s="7"/>
      <c r="E91" s="7" t="s">
        <v>220</v>
      </c>
      <c r="F91" s="7" t="s">
        <v>221</v>
      </c>
      <c r="G91" s="7" t="s">
        <v>222</v>
      </c>
      <c r="H91" s="8"/>
      <c r="I91" s="8" t="s">
        <v>223</v>
      </c>
    </row>
    <row r="92" customFormat="false" ht="57" hidden="false" customHeight="true" outlineLevel="0" collapsed="false">
      <c r="A92" s="7" t="n">
        <v>82</v>
      </c>
      <c r="B92" s="7" t="s">
        <v>218</v>
      </c>
      <c r="C92" s="7" t="s">
        <v>95</v>
      </c>
      <c r="D92" s="7"/>
      <c r="E92" s="7" t="s">
        <v>220</v>
      </c>
      <c r="F92" s="7" t="s">
        <v>224</v>
      </c>
      <c r="G92" s="7" t="s">
        <v>222</v>
      </c>
      <c r="H92" s="8"/>
      <c r="I92" s="8" t="s">
        <v>223</v>
      </c>
    </row>
    <row r="93" customFormat="false" ht="45.75" hidden="false" customHeight="true" outlineLevel="0" collapsed="false">
      <c r="A93" s="7" t="n">
        <v>83</v>
      </c>
      <c r="B93" s="7" t="s">
        <v>218</v>
      </c>
      <c r="C93" s="7" t="s">
        <v>135</v>
      </c>
      <c r="D93" s="7"/>
      <c r="E93" s="7" t="s">
        <v>225</v>
      </c>
      <c r="F93" s="7" t="s">
        <v>226</v>
      </c>
      <c r="G93" s="7" t="s">
        <v>227</v>
      </c>
      <c r="H93" s="8"/>
      <c r="I93" s="8" t="s">
        <v>223</v>
      </c>
    </row>
    <row r="94" customFormat="false" ht="147" hidden="false" customHeight="true" outlineLevel="0" collapsed="false">
      <c r="A94" s="7" t="n">
        <v>84</v>
      </c>
      <c r="B94" s="7" t="s">
        <v>218</v>
      </c>
      <c r="C94" s="7" t="s">
        <v>59</v>
      </c>
      <c r="D94" s="7"/>
      <c r="E94" s="7" t="s">
        <v>228</v>
      </c>
      <c r="F94" s="7" t="s">
        <v>229</v>
      </c>
      <c r="G94" s="7" t="s">
        <v>230</v>
      </c>
      <c r="H94" s="8"/>
      <c r="I94" s="8" t="s">
        <v>231</v>
      </c>
    </row>
    <row r="95" customFormat="false" ht="57" hidden="false" customHeight="true" outlineLevel="0" collapsed="false">
      <c r="A95" s="7" t="n">
        <v>85</v>
      </c>
      <c r="B95" s="7" t="s">
        <v>218</v>
      </c>
      <c r="C95" s="7" t="s">
        <v>13</v>
      </c>
      <c r="D95" s="7"/>
      <c r="E95" s="7" t="s">
        <v>220</v>
      </c>
      <c r="F95" s="7" t="s">
        <v>232</v>
      </c>
      <c r="G95" s="7" t="s">
        <v>222</v>
      </c>
      <c r="H95" s="8"/>
      <c r="I95" s="8" t="s">
        <v>223</v>
      </c>
    </row>
    <row r="96" customFormat="false" ht="57" hidden="false" customHeight="true" outlineLevel="0" collapsed="false">
      <c r="A96" s="7" t="n">
        <v>86</v>
      </c>
      <c r="B96" s="7" t="s">
        <v>218</v>
      </c>
      <c r="C96" s="7" t="s">
        <v>233</v>
      </c>
      <c r="D96" s="7"/>
      <c r="E96" s="7" t="s">
        <v>220</v>
      </c>
      <c r="F96" s="7" t="s">
        <v>234</v>
      </c>
      <c r="G96" s="7" t="s">
        <v>222</v>
      </c>
      <c r="H96" s="8"/>
      <c r="I96" s="8" t="s">
        <v>223</v>
      </c>
    </row>
    <row r="97" customFormat="false" ht="57" hidden="false" customHeight="true" outlineLevel="0" collapsed="false">
      <c r="A97" s="7" t="n">
        <v>87</v>
      </c>
      <c r="B97" s="7" t="s">
        <v>218</v>
      </c>
      <c r="C97" s="7" t="s">
        <v>88</v>
      </c>
      <c r="D97" s="7"/>
      <c r="E97" s="7" t="s">
        <v>220</v>
      </c>
      <c r="F97" s="7" t="s">
        <v>234</v>
      </c>
      <c r="G97" s="7" t="s">
        <v>222</v>
      </c>
      <c r="H97" s="8"/>
      <c r="I97" s="8" t="s">
        <v>223</v>
      </c>
    </row>
    <row r="98" customFormat="false" ht="57" hidden="false" customHeight="true" outlineLevel="0" collapsed="false">
      <c r="A98" s="7" t="n">
        <v>88</v>
      </c>
      <c r="B98" s="7" t="s">
        <v>218</v>
      </c>
      <c r="C98" s="7" t="s">
        <v>76</v>
      </c>
      <c r="D98" s="7"/>
      <c r="E98" s="7" t="s">
        <v>220</v>
      </c>
      <c r="F98" s="7" t="s">
        <v>235</v>
      </c>
      <c r="G98" s="7" t="s">
        <v>222</v>
      </c>
      <c r="H98" s="8"/>
      <c r="I98" s="8" t="s">
        <v>223</v>
      </c>
    </row>
    <row r="99" customFormat="false" ht="57" hidden="false" customHeight="true" outlineLevel="0" collapsed="false">
      <c r="A99" s="7" t="n">
        <v>89</v>
      </c>
      <c r="B99" s="7" t="s">
        <v>218</v>
      </c>
      <c r="C99" s="7" t="s">
        <v>70</v>
      </c>
      <c r="D99" s="7"/>
      <c r="E99" s="7" t="s">
        <v>220</v>
      </c>
      <c r="F99" s="7" t="s">
        <v>236</v>
      </c>
      <c r="G99" s="7" t="s">
        <v>222</v>
      </c>
      <c r="H99" s="8"/>
      <c r="I99" s="8" t="s">
        <v>223</v>
      </c>
    </row>
    <row r="100" customFormat="false" ht="23.25" hidden="false" customHeight="true" outlineLevel="0" collapsed="false">
      <c r="A100" s="7" t="n">
        <v>90</v>
      </c>
      <c r="B100" s="7" t="s">
        <v>218</v>
      </c>
      <c r="C100" s="7" t="s">
        <v>88</v>
      </c>
      <c r="D100" s="7"/>
      <c r="E100" s="7" t="s">
        <v>237</v>
      </c>
      <c r="F100" s="7" t="s">
        <v>238</v>
      </c>
      <c r="G100" s="7" t="s">
        <v>239</v>
      </c>
      <c r="H100" s="8"/>
      <c r="I100" s="8"/>
    </row>
    <row r="101" customFormat="false" ht="15" hidden="false" customHeight="true" outlineLevel="0" collapsed="false">
      <c r="A101" s="5"/>
      <c r="B101" s="5" t="s">
        <v>240</v>
      </c>
      <c r="C101" s="9"/>
      <c r="D101" s="9"/>
      <c r="E101" s="9"/>
      <c r="F101" s="9"/>
      <c r="G101" s="9"/>
      <c r="H101" s="9"/>
      <c r="I101" s="10"/>
    </row>
    <row r="102" customFormat="false" ht="57" hidden="false" customHeight="true" outlineLevel="0" collapsed="false">
      <c r="A102" s="6" t="n">
        <v>91</v>
      </c>
      <c r="B102" s="6" t="s">
        <v>241</v>
      </c>
      <c r="C102" s="6" t="s">
        <v>219</v>
      </c>
      <c r="D102" s="6"/>
      <c r="E102" s="6" t="s">
        <v>242</v>
      </c>
      <c r="F102" s="6" t="s">
        <v>243</v>
      </c>
      <c r="G102" s="6" t="s">
        <v>244</v>
      </c>
      <c r="H102" s="6" t="s">
        <v>91</v>
      </c>
      <c r="I102" s="6" t="s">
        <v>245</v>
      </c>
    </row>
    <row r="103" customFormat="false" ht="23.25" hidden="false" customHeight="true" outlineLevel="0" collapsed="false">
      <c r="A103" s="7" t="n">
        <v>92</v>
      </c>
      <c r="B103" s="7" t="s">
        <v>241</v>
      </c>
      <c r="C103" s="7" t="s">
        <v>59</v>
      </c>
      <c r="D103" s="7"/>
      <c r="E103" s="7" t="s">
        <v>246</v>
      </c>
      <c r="F103" s="7" t="s">
        <v>247</v>
      </c>
      <c r="G103" s="7" t="s">
        <v>248</v>
      </c>
      <c r="H103" s="8"/>
      <c r="I103" s="8"/>
    </row>
    <row r="104" customFormat="false" ht="23.25" hidden="false" customHeight="true" outlineLevel="0" collapsed="false">
      <c r="A104" s="7" t="n">
        <v>93</v>
      </c>
      <c r="B104" s="7" t="s">
        <v>241</v>
      </c>
      <c r="C104" s="7" t="s">
        <v>249</v>
      </c>
      <c r="D104" s="7"/>
      <c r="E104" s="7" t="s">
        <v>250</v>
      </c>
      <c r="F104" s="7" t="s">
        <v>251</v>
      </c>
      <c r="G104" s="7" t="s">
        <v>252</v>
      </c>
      <c r="H104" s="8"/>
      <c r="I104" s="8"/>
    </row>
    <row r="105" customFormat="false" ht="23.25" hidden="false" customHeight="true" outlineLevel="0" collapsed="false">
      <c r="A105" s="7" t="n">
        <v>94</v>
      </c>
      <c r="B105" s="7" t="s">
        <v>241</v>
      </c>
      <c r="C105" s="7" t="s">
        <v>253</v>
      </c>
      <c r="D105" s="7"/>
      <c r="E105" s="7" t="s">
        <v>254</v>
      </c>
      <c r="F105" s="7" t="s">
        <v>255</v>
      </c>
      <c r="G105" s="7" t="s">
        <v>256</v>
      </c>
      <c r="H105" s="8"/>
      <c r="I105" s="8"/>
    </row>
    <row r="106" customFormat="false" ht="15" hidden="false" customHeight="true" outlineLevel="0" collapsed="false">
      <c r="A106" s="7" t="n">
        <v>95</v>
      </c>
      <c r="B106" s="7" t="s">
        <v>241</v>
      </c>
      <c r="C106" s="7" t="s">
        <v>59</v>
      </c>
      <c r="D106" s="7"/>
      <c r="E106" s="7" t="s">
        <v>257</v>
      </c>
      <c r="F106" s="7" t="s">
        <v>258</v>
      </c>
      <c r="G106" s="7" t="s">
        <v>259</v>
      </c>
      <c r="H106" s="8"/>
      <c r="I106" s="8"/>
    </row>
    <row r="107" customFormat="false" ht="34.5" hidden="false" customHeight="true" outlineLevel="0" collapsed="false">
      <c r="A107" s="7" t="n">
        <v>96</v>
      </c>
      <c r="B107" s="7" t="s">
        <v>241</v>
      </c>
      <c r="C107" s="7" t="s">
        <v>260</v>
      </c>
      <c r="D107" s="7"/>
      <c r="E107" s="7" t="s">
        <v>261</v>
      </c>
      <c r="F107" s="7" t="s">
        <v>262</v>
      </c>
      <c r="G107" s="7" t="s">
        <v>263</v>
      </c>
      <c r="H107" s="8"/>
      <c r="I107" s="8"/>
    </row>
    <row r="108" customFormat="false" ht="23.25" hidden="false" customHeight="true" outlineLevel="0" collapsed="false">
      <c r="A108" s="7" t="n">
        <v>97</v>
      </c>
      <c r="B108" s="7" t="s">
        <v>241</v>
      </c>
      <c r="C108" s="7" t="s">
        <v>59</v>
      </c>
      <c r="D108" s="7" t="s">
        <v>264</v>
      </c>
      <c r="E108" s="7" t="s">
        <v>265</v>
      </c>
      <c r="F108" s="7" t="s">
        <v>266</v>
      </c>
      <c r="G108" s="7" t="s">
        <v>267</v>
      </c>
      <c r="H108" s="8"/>
      <c r="I108" s="8"/>
    </row>
    <row r="109" customFormat="false" ht="34.5" hidden="false" customHeight="true" outlineLevel="0" collapsed="false">
      <c r="A109" s="7" t="n">
        <v>98</v>
      </c>
      <c r="B109" s="7" t="s">
        <v>241</v>
      </c>
      <c r="C109" s="7" t="s">
        <v>70</v>
      </c>
      <c r="D109" s="7" t="s">
        <v>268</v>
      </c>
      <c r="E109" s="7" t="s">
        <v>269</v>
      </c>
      <c r="F109" s="7" t="s">
        <v>270</v>
      </c>
      <c r="G109" s="7" t="s">
        <v>271</v>
      </c>
      <c r="H109" s="8"/>
      <c r="I109" s="8"/>
    </row>
    <row r="110" customFormat="false" ht="23.25" hidden="false" customHeight="true" outlineLevel="0" collapsed="false">
      <c r="A110" s="7" t="n">
        <v>99</v>
      </c>
      <c r="B110" s="7" t="s">
        <v>241</v>
      </c>
      <c r="C110" s="7" t="s">
        <v>13</v>
      </c>
      <c r="D110" s="7" t="s">
        <v>41</v>
      </c>
      <c r="E110" s="7" t="s">
        <v>272</v>
      </c>
      <c r="F110" s="7" t="s">
        <v>273</v>
      </c>
      <c r="G110" s="7" t="s">
        <v>274</v>
      </c>
      <c r="H110" s="8"/>
      <c r="I110" s="8"/>
    </row>
    <row r="111" customFormat="false" ht="23.25" hidden="false" customHeight="true" outlineLevel="0" collapsed="false">
      <c r="A111" s="7" t="n">
        <v>100</v>
      </c>
      <c r="B111" s="7" t="s">
        <v>241</v>
      </c>
      <c r="C111" s="7" t="s">
        <v>13</v>
      </c>
      <c r="D111" s="7" t="s">
        <v>45</v>
      </c>
      <c r="E111" s="7" t="s">
        <v>275</v>
      </c>
      <c r="F111" s="7" t="s">
        <v>273</v>
      </c>
      <c r="G111" s="7" t="s">
        <v>274</v>
      </c>
      <c r="H111" s="8"/>
      <c r="I111" s="8"/>
    </row>
    <row r="112" customFormat="false" ht="23.25" hidden="false" customHeight="true" outlineLevel="0" collapsed="false">
      <c r="A112" s="7" t="n">
        <v>101</v>
      </c>
      <c r="B112" s="7" t="s">
        <v>241</v>
      </c>
      <c r="C112" s="7" t="s">
        <v>135</v>
      </c>
      <c r="D112" s="7" t="s">
        <v>123</v>
      </c>
      <c r="E112" s="7" t="s">
        <v>276</v>
      </c>
      <c r="F112" s="7" t="s">
        <v>273</v>
      </c>
      <c r="G112" s="7" t="s">
        <v>274</v>
      </c>
      <c r="H112" s="8"/>
      <c r="I112" s="8"/>
    </row>
    <row r="113" customFormat="false" ht="23.25" hidden="false" customHeight="true" outlineLevel="0" collapsed="false">
      <c r="A113" s="7" t="n">
        <v>102</v>
      </c>
      <c r="B113" s="7" t="s">
        <v>241</v>
      </c>
      <c r="C113" s="7" t="s">
        <v>135</v>
      </c>
      <c r="D113" s="7" t="s">
        <v>277</v>
      </c>
      <c r="E113" s="7" t="s">
        <v>278</v>
      </c>
      <c r="F113" s="7" t="s">
        <v>273</v>
      </c>
      <c r="G113" s="7" t="s">
        <v>274</v>
      </c>
      <c r="H113" s="8"/>
      <c r="I113" s="8"/>
    </row>
    <row r="114" customFormat="false" ht="23.25" hidden="false" customHeight="true" outlineLevel="0" collapsed="false">
      <c r="A114" s="7" t="n">
        <v>103</v>
      </c>
      <c r="B114" s="7" t="s">
        <v>241</v>
      </c>
      <c r="C114" s="7" t="s">
        <v>135</v>
      </c>
      <c r="D114" s="7" t="s">
        <v>279</v>
      </c>
      <c r="E114" s="7" t="s">
        <v>280</v>
      </c>
      <c r="F114" s="7" t="s">
        <v>273</v>
      </c>
      <c r="G114" s="7" t="s">
        <v>274</v>
      </c>
      <c r="H114" s="8"/>
      <c r="I114" s="8"/>
    </row>
    <row r="115" customFormat="false" ht="23.25" hidden="false" customHeight="true" outlineLevel="0" collapsed="false">
      <c r="A115" s="7" t="n">
        <v>104</v>
      </c>
      <c r="B115" s="7" t="s">
        <v>241</v>
      </c>
      <c r="C115" s="7" t="s">
        <v>70</v>
      </c>
      <c r="D115" s="7" t="s">
        <v>23</v>
      </c>
      <c r="E115" s="7" t="s">
        <v>281</v>
      </c>
      <c r="F115" s="7" t="s">
        <v>282</v>
      </c>
      <c r="G115" s="7" t="s">
        <v>274</v>
      </c>
      <c r="H115" s="8"/>
      <c r="I115" s="8"/>
    </row>
    <row r="116" customFormat="false" ht="45.75" hidden="false" customHeight="true" outlineLevel="0" collapsed="false">
      <c r="A116" s="7" t="n">
        <v>105</v>
      </c>
      <c r="B116" s="7" t="s">
        <v>241</v>
      </c>
      <c r="C116" s="7" t="s">
        <v>283</v>
      </c>
      <c r="D116" s="7"/>
      <c r="E116" s="7" t="s">
        <v>284</v>
      </c>
      <c r="F116" s="7" t="s">
        <v>285</v>
      </c>
      <c r="G116" s="7" t="s">
        <v>286</v>
      </c>
      <c r="H116" s="8"/>
      <c r="I116" s="8"/>
    </row>
    <row r="117" customFormat="false" ht="34.5" hidden="false" customHeight="true" outlineLevel="0" collapsed="false">
      <c r="A117" s="7" t="n">
        <v>106</v>
      </c>
      <c r="B117" s="7" t="s">
        <v>241</v>
      </c>
      <c r="C117" s="7" t="s">
        <v>283</v>
      </c>
      <c r="D117" s="7"/>
      <c r="E117" s="7" t="s">
        <v>287</v>
      </c>
      <c r="F117" s="7" t="s">
        <v>288</v>
      </c>
      <c r="G117" s="7" t="s">
        <v>289</v>
      </c>
      <c r="H117" s="8"/>
      <c r="I117" s="8"/>
    </row>
    <row r="118" customFormat="false" ht="23.25" hidden="false" customHeight="true" outlineLevel="0" collapsed="false">
      <c r="A118" s="6" t="n">
        <v>107</v>
      </c>
      <c r="B118" s="6" t="s">
        <v>241</v>
      </c>
      <c r="C118" s="6" t="s">
        <v>283</v>
      </c>
      <c r="D118" s="6"/>
      <c r="E118" s="6" t="s">
        <v>290</v>
      </c>
      <c r="F118" s="6" t="s">
        <v>291</v>
      </c>
      <c r="G118" s="6" t="s">
        <v>292</v>
      </c>
      <c r="H118" s="6" t="s">
        <v>91</v>
      </c>
      <c r="I118" s="6" t="s">
        <v>293</v>
      </c>
    </row>
    <row r="119" customFormat="false" ht="57" hidden="false" customHeight="true" outlineLevel="0" collapsed="false">
      <c r="A119" s="7" t="n">
        <v>108</v>
      </c>
      <c r="B119" s="7" t="s">
        <v>241</v>
      </c>
      <c r="C119" s="7" t="s">
        <v>294</v>
      </c>
      <c r="D119" s="7" t="s">
        <v>295</v>
      </c>
      <c r="E119" s="7" t="s">
        <v>296</v>
      </c>
      <c r="F119" s="7" t="s">
        <v>297</v>
      </c>
      <c r="G119" s="7" t="s">
        <v>298</v>
      </c>
      <c r="H119" s="8"/>
      <c r="I119" s="8"/>
    </row>
    <row r="120" customFormat="false" ht="23.25" hidden="false" customHeight="true" outlineLevel="0" collapsed="false">
      <c r="A120" s="7" t="n">
        <v>109</v>
      </c>
      <c r="B120" s="7" t="s">
        <v>241</v>
      </c>
      <c r="C120" s="7" t="s">
        <v>299</v>
      </c>
      <c r="D120" s="7" t="s">
        <v>96</v>
      </c>
      <c r="E120" s="7" t="s">
        <v>300</v>
      </c>
      <c r="F120" s="7" t="s">
        <v>301</v>
      </c>
      <c r="G120" s="7" t="s">
        <v>302</v>
      </c>
      <c r="H120" s="8"/>
      <c r="I120" s="8"/>
    </row>
    <row r="121" customFormat="false" ht="34.5" hidden="false" customHeight="true" outlineLevel="0" collapsed="false">
      <c r="A121" s="7" t="n">
        <v>110</v>
      </c>
      <c r="B121" s="7" t="s">
        <v>241</v>
      </c>
      <c r="C121" s="7" t="s">
        <v>283</v>
      </c>
      <c r="D121" s="7"/>
      <c r="E121" s="7" t="s">
        <v>303</v>
      </c>
      <c r="F121" s="7" t="s">
        <v>304</v>
      </c>
      <c r="G121" s="7" t="s">
        <v>305</v>
      </c>
      <c r="H121" s="8"/>
      <c r="I121" s="8"/>
    </row>
    <row r="122" customFormat="false" ht="45.75" hidden="false" customHeight="true" outlineLevel="0" collapsed="false">
      <c r="A122" s="7" t="n">
        <v>111</v>
      </c>
      <c r="B122" s="7" t="s">
        <v>241</v>
      </c>
      <c r="C122" s="7" t="s">
        <v>299</v>
      </c>
      <c r="D122" s="7" t="s">
        <v>306</v>
      </c>
      <c r="E122" s="7" t="s">
        <v>307</v>
      </c>
      <c r="F122" s="7" t="s">
        <v>308</v>
      </c>
      <c r="G122" s="7" t="s">
        <v>309</v>
      </c>
      <c r="H122" s="8"/>
      <c r="I122" s="8"/>
    </row>
    <row r="123" customFormat="false" ht="34.5" hidden="false" customHeight="true" outlineLevel="0" collapsed="false">
      <c r="A123" s="7" t="n">
        <v>112</v>
      </c>
      <c r="B123" s="7" t="s">
        <v>241</v>
      </c>
      <c r="C123" s="7" t="s">
        <v>59</v>
      </c>
      <c r="D123" s="7"/>
      <c r="E123" s="7" t="s">
        <v>310</v>
      </c>
      <c r="F123" s="7" t="s">
        <v>311</v>
      </c>
      <c r="G123" s="7" t="s">
        <v>312</v>
      </c>
      <c r="H123" s="8"/>
      <c r="I123" s="8"/>
    </row>
  </sheetData>
  <mergeCells count="6">
    <mergeCell ref="B5:I5"/>
    <mergeCell ref="B20:I20"/>
    <mergeCell ref="B27:I27"/>
    <mergeCell ref="B70:I70"/>
    <mergeCell ref="B81:I81"/>
    <mergeCell ref="B90:I90"/>
  </mergeCells>
  <dataValidations count="1">
    <dataValidation allowBlank="true" errorStyle="stop" operator="between" showDropDown="false" showErrorMessage="false" showInputMessage="false" sqref="H5:H123" type="list">
      <formula1>"Approve,Reject,Change,Needs info"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4" min="3" style="1" width="7"/>
    <col collapsed="false" customWidth="true" hidden="false" outlineLevel="0" max="5" min="5" style="1" width="8"/>
    <col collapsed="false" customWidth="true" hidden="false" outlineLevel="0" max="6" min="6" style="1" width="18"/>
    <col collapsed="false" customWidth="true" hidden="false" outlineLevel="0" max="7" min="7" style="1" width="26"/>
    <col collapsed="false" customWidth="true" hidden="false" outlineLevel="0" max="8" min="8" style="1" width="11"/>
    <col collapsed="false" customWidth="true" hidden="false" outlineLevel="0" max="9" min="9" style="1" width="70"/>
    <col collapsed="false" customWidth="true" hidden="false" outlineLevel="0" max="10" min="10" style="1" width="18"/>
  </cols>
  <sheetData>
    <row r="1" customFormat="false" ht="15" hidden="false" customHeight="true" outlineLevel="0" collapsed="false">
      <c r="A1" s="11" t="s">
        <v>313</v>
      </c>
    </row>
    <row r="3" customFormat="false" ht="15" hidden="false" customHeight="true" outlineLevel="0" collapsed="false">
      <c r="A3" s="12" t="s">
        <v>4</v>
      </c>
      <c r="B3" s="12" t="s">
        <v>5</v>
      </c>
      <c r="C3" s="12" t="s">
        <v>314</v>
      </c>
      <c r="D3" s="12" t="s">
        <v>315</v>
      </c>
      <c r="E3" s="12" t="s">
        <v>316</v>
      </c>
      <c r="F3" s="12" t="s">
        <v>317</v>
      </c>
      <c r="G3" s="12" t="s">
        <v>318</v>
      </c>
      <c r="H3" s="12" t="s">
        <v>319</v>
      </c>
      <c r="I3" s="12" t="s">
        <v>320</v>
      </c>
      <c r="J3" s="12" t="s">
        <v>321</v>
      </c>
    </row>
    <row r="4" customFormat="false" ht="15" hidden="false" customHeight="true" outlineLevel="0" collapsed="false">
      <c r="A4" s="7" t="s">
        <v>322</v>
      </c>
      <c r="B4" s="7" t="s">
        <v>32</v>
      </c>
      <c r="C4" s="7" t="s">
        <v>323</v>
      </c>
      <c r="D4" s="7"/>
      <c r="E4" s="7" t="s">
        <v>324</v>
      </c>
      <c r="F4" s="7" t="s">
        <v>325</v>
      </c>
      <c r="G4" s="7" t="s">
        <v>326</v>
      </c>
      <c r="H4" s="7" t="s">
        <v>327</v>
      </c>
      <c r="I4" s="7"/>
    </row>
    <row r="5" customFormat="false" ht="15" hidden="false" customHeight="true" outlineLevel="0" collapsed="false">
      <c r="A5" s="7" t="s">
        <v>322</v>
      </c>
      <c r="B5" s="7" t="s">
        <v>328</v>
      </c>
      <c r="C5" s="7" t="s">
        <v>323</v>
      </c>
      <c r="D5" s="7"/>
      <c r="E5" s="7" t="s">
        <v>329</v>
      </c>
      <c r="F5" s="7" t="s">
        <v>330</v>
      </c>
      <c r="G5" s="7" t="s">
        <v>331</v>
      </c>
      <c r="H5" s="7"/>
      <c r="I5" s="7"/>
    </row>
    <row r="6" customFormat="false" ht="15" hidden="false" customHeight="true" outlineLevel="0" collapsed="false">
      <c r="A6" s="13" t="s">
        <v>322</v>
      </c>
      <c r="B6" s="13" t="s">
        <v>96</v>
      </c>
      <c r="C6" s="13" t="s">
        <v>332</v>
      </c>
      <c r="D6" s="13" t="s">
        <v>333</v>
      </c>
      <c r="E6" s="13" t="s">
        <v>329</v>
      </c>
      <c r="F6" s="13" t="s">
        <v>325</v>
      </c>
      <c r="G6" s="13" t="s">
        <v>334</v>
      </c>
      <c r="H6" s="13" t="s">
        <v>335</v>
      </c>
      <c r="I6" s="13" t="s">
        <v>336</v>
      </c>
      <c r="J6" s="13" t="s">
        <v>337</v>
      </c>
    </row>
    <row r="7" customFormat="false" ht="15" hidden="false" customHeight="true" outlineLevel="0" collapsed="false">
      <c r="A7" s="7" t="s">
        <v>322</v>
      </c>
      <c r="B7" s="7" t="s">
        <v>338</v>
      </c>
      <c r="C7" s="7" t="s">
        <v>323</v>
      </c>
      <c r="D7" s="7"/>
      <c r="E7" s="7" t="s">
        <v>329</v>
      </c>
      <c r="F7" s="7" t="s">
        <v>330</v>
      </c>
      <c r="G7" s="7" t="s">
        <v>331</v>
      </c>
      <c r="H7" s="7"/>
      <c r="I7" s="7"/>
    </row>
    <row r="8" customFormat="false" ht="15" hidden="false" customHeight="true" outlineLevel="0" collapsed="false">
      <c r="A8" s="7" t="s">
        <v>322</v>
      </c>
      <c r="B8" s="7" t="s">
        <v>339</v>
      </c>
      <c r="C8" s="7" t="s">
        <v>323</v>
      </c>
      <c r="D8" s="7"/>
      <c r="E8" s="7" t="s">
        <v>329</v>
      </c>
      <c r="F8" s="7" t="s">
        <v>330</v>
      </c>
      <c r="G8" s="7" t="s">
        <v>331</v>
      </c>
      <c r="H8" s="7" t="s">
        <v>340</v>
      </c>
      <c r="I8" s="7"/>
    </row>
    <row r="9" customFormat="false" ht="15" hidden="false" customHeight="true" outlineLevel="0" collapsed="false">
      <c r="A9" s="7" t="s">
        <v>322</v>
      </c>
      <c r="B9" s="7" t="s">
        <v>341</v>
      </c>
      <c r="C9" s="7" t="s">
        <v>323</v>
      </c>
      <c r="D9" s="7"/>
      <c r="E9" s="7" t="s">
        <v>329</v>
      </c>
      <c r="F9" s="7" t="s">
        <v>330</v>
      </c>
      <c r="G9" s="7" t="s">
        <v>331</v>
      </c>
      <c r="H9" s="7"/>
      <c r="I9" s="7"/>
    </row>
    <row r="10" customFormat="false" ht="15" hidden="false" customHeight="true" outlineLevel="0" collapsed="false">
      <c r="A10" s="7" t="s">
        <v>322</v>
      </c>
      <c r="B10" s="7" t="s">
        <v>342</v>
      </c>
      <c r="C10" s="7" t="s">
        <v>323</v>
      </c>
      <c r="D10" s="7"/>
      <c r="E10" s="7" t="s">
        <v>329</v>
      </c>
      <c r="F10" s="7" t="s">
        <v>330</v>
      </c>
      <c r="G10" s="7" t="s">
        <v>331</v>
      </c>
      <c r="H10" s="7"/>
      <c r="I10" s="7"/>
    </row>
    <row r="11" customFormat="false" ht="15" hidden="false" customHeight="true" outlineLevel="0" collapsed="false">
      <c r="A11" s="7" t="s">
        <v>322</v>
      </c>
      <c r="B11" s="7" t="s">
        <v>343</v>
      </c>
      <c r="C11" s="7" t="s">
        <v>323</v>
      </c>
      <c r="D11" s="7"/>
      <c r="E11" s="7" t="s">
        <v>329</v>
      </c>
      <c r="F11" s="7" t="s">
        <v>344</v>
      </c>
      <c r="G11" s="7" t="s">
        <v>345</v>
      </c>
      <c r="H11" s="7"/>
      <c r="I11" s="7"/>
    </row>
    <row r="12" customFormat="false" ht="15" hidden="false" customHeight="true" outlineLevel="0" collapsed="false">
      <c r="A12" s="7" t="s">
        <v>322</v>
      </c>
      <c r="B12" s="7" t="s">
        <v>143</v>
      </c>
      <c r="C12" s="7" t="s">
        <v>323</v>
      </c>
      <c r="D12" s="7"/>
      <c r="E12" s="7" t="s">
        <v>329</v>
      </c>
      <c r="F12" s="7" t="s">
        <v>344</v>
      </c>
      <c r="G12" s="7" t="s">
        <v>345</v>
      </c>
      <c r="H12" s="7"/>
      <c r="I12" s="7"/>
    </row>
    <row r="13" customFormat="false" ht="15" hidden="false" customHeight="true" outlineLevel="0" collapsed="false">
      <c r="A13" s="13" t="s">
        <v>322</v>
      </c>
      <c r="B13" s="13" t="s">
        <v>346</v>
      </c>
      <c r="C13" s="13" t="s">
        <v>332</v>
      </c>
      <c r="D13" s="13" t="s">
        <v>347</v>
      </c>
      <c r="E13" s="13" t="s">
        <v>329</v>
      </c>
      <c r="F13" s="13" t="s">
        <v>344</v>
      </c>
      <c r="G13" s="13" t="s">
        <v>345</v>
      </c>
      <c r="H13" s="13"/>
      <c r="I13" s="13"/>
    </row>
    <row r="14" customFormat="false" ht="15" hidden="false" customHeight="true" outlineLevel="0" collapsed="false">
      <c r="A14" s="13" t="s">
        <v>322</v>
      </c>
      <c r="B14" s="13" t="s">
        <v>348</v>
      </c>
      <c r="C14" s="13" t="s">
        <v>332</v>
      </c>
      <c r="D14" s="13" t="s">
        <v>347</v>
      </c>
      <c r="E14" s="13" t="s">
        <v>329</v>
      </c>
      <c r="F14" s="13" t="s">
        <v>344</v>
      </c>
      <c r="G14" s="13" t="s">
        <v>345</v>
      </c>
      <c r="H14" s="13"/>
      <c r="I14" s="13"/>
    </row>
    <row r="15" customFormat="false" ht="15" hidden="false" customHeight="true" outlineLevel="0" collapsed="false">
      <c r="A15" s="13" t="s">
        <v>322</v>
      </c>
      <c r="B15" s="13" t="s">
        <v>349</v>
      </c>
      <c r="C15" s="13" t="s">
        <v>332</v>
      </c>
      <c r="D15" s="13" t="s">
        <v>347</v>
      </c>
      <c r="E15" s="13" t="s">
        <v>329</v>
      </c>
      <c r="F15" s="13" t="s">
        <v>344</v>
      </c>
      <c r="G15" s="13" t="s">
        <v>345</v>
      </c>
      <c r="H15" s="13"/>
      <c r="I15" s="13"/>
    </row>
    <row r="16" customFormat="false" ht="15" hidden="false" customHeight="true" outlineLevel="0" collapsed="false">
      <c r="A16" s="7" t="s">
        <v>322</v>
      </c>
      <c r="B16" s="7" t="s">
        <v>350</v>
      </c>
      <c r="C16" s="7" t="s">
        <v>323</v>
      </c>
      <c r="D16" s="7"/>
      <c r="E16" s="7" t="s">
        <v>329</v>
      </c>
      <c r="F16" s="7" t="s">
        <v>344</v>
      </c>
      <c r="G16" s="7" t="s">
        <v>345</v>
      </c>
      <c r="H16" s="7"/>
      <c r="I16" s="7"/>
    </row>
    <row r="17" customFormat="false" ht="15" hidden="false" customHeight="true" outlineLevel="0" collapsed="false">
      <c r="A17" s="7" t="s">
        <v>322</v>
      </c>
      <c r="B17" s="7" t="s">
        <v>351</v>
      </c>
      <c r="C17" s="7" t="s">
        <v>323</v>
      </c>
      <c r="D17" s="7"/>
      <c r="E17" s="7" t="s">
        <v>329</v>
      </c>
      <c r="F17" s="7" t="s">
        <v>344</v>
      </c>
      <c r="G17" s="7" t="s">
        <v>345</v>
      </c>
      <c r="H17" s="7"/>
      <c r="I17" s="7"/>
    </row>
    <row r="18" customFormat="false" ht="15" hidden="false" customHeight="true" outlineLevel="0" collapsed="false">
      <c r="A18" s="7" t="s">
        <v>322</v>
      </c>
      <c r="B18" s="7" t="s">
        <v>352</v>
      </c>
      <c r="C18" s="7" t="s">
        <v>323</v>
      </c>
      <c r="D18" s="7"/>
      <c r="E18" s="7" t="s">
        <v>329</v>
      </c>
      <c r="F18" s="7" t="s">
        <v>344</v>
      </c>
      <c r="G18" s="7" t="s">
        <v>345</v>
      </c>
      <c r="H18" s="7"/>
      <c r="I18" s="7"/>
    </row>
    <row r="19" customFormat="false" ht="15" hidden="false" customHeight="true" outlineLevel="0" collapsed="false">
      <c r="A19" s="6" t="s">
        <v>322</v>
      </c>
      <c r="B19" s="6" t="s">
        <v>353</v>
      </c>
      <c r="C19" s="6" t="s">
        <v>332</v>
      </c>
      <c r="D19" s="6" t="s">
        <v>347</v>
      </c>
      <c r="E19" s="6" t="s">
        <v>329</v>
      </c>
      <c r="F19" s="6" t="s">
        <v>344</v>
      </c>
      <c r="G19" s="6" t="s">
        <v>345</v>
      </c>
      <c r="H19" s="6"/>
      <c r="I19" s="6" t="s">
        <v>354</v>
      </c>
      <c r="J19" s="6" t="s">
        <v>355</v>
      </c>
    </row>
    <row r="20" customFormat="false" ht="15" hidden="false" customHeight="true" outlineLevel="0" collapsed="false">
      <c r="A20" s="7" t="s">
        <v>322</v>
      </c>
      <c r="B20" s="7" t="s">
        <v>356</v>
      </c>
      <c r="C20" s="7" t="s">
        <v>323</v>
      </c>
      <c r="D20" s="7"/>
      <c r="E20" s="7" t="s">
        <v>329</v>
      </c>
      <c r="F20" s="7" t="s">
        <v>344</v>
      </c>
      <c r="G20" s="7" t="s">
        <v>345</v>
      </c>
      <c r="H20" s="7"/>
      <c r="I20" s="7"/>
    </row>
    <row r="21" customFormat="false" ht="15" hidden="false" customHeight="true" outlineLevel="0" collapsed="false">
      <c r="A21" s="7" t="s">
        <v>322</v>
      </c>
      <c r="B21" s="7" t="s">
        <v>145</v>
      </c>
      <c r="C21" s="7" t="s">
        <v>323</v>
      </c>
      <c r="D21" s="7"/>
      <c r="E21" s="7" t="s">
        <v>329</v>
      </c>
      <c r="F21" s="7" t="s">
        <v>357</v>
      </c>
      <c r="G21" s="7" t="s">
        <v>358</v>
      </c>
      <c r="H21" s="7" t="s">
        <v>359</v>
      </c>
      <c r="I21" s="7"/>
    </row>
    <row r="22" customFormat="false" ht="15" hidden="false" customHeight="true" outlineLevel="0" collapsed="false">
      <c r="A22" s="7" t="s">
        <v>322</v>
      </c>
      <c r="B22" s="7" t="s">
        <v>360</v>
      </c>
      <c r="C22" s="7" t="s">
        <v>323</v>
      </c>
      <c r="D22" s="7"/>
      <c r="E22" s="7" t="s">
        <v>329</v>
      </c>
      <c r="F22" s="7" t="s">
        <v>344</v>
      </c>
      <c r="G22" s="7" t="s">
        <v>345</v>
      </c>
      <c r="H22" s="7"/>
      <c r="I22" s="7"/>
    </row>
    <row r="23" customFormat="false" ht="15" hidden="false" customHeight="true" outlineLevel="0" collapsed="false">
      <c r="A23" s="7" t="s">
        <v>322</v>
      </c>
      <c r="B23" s="7" t="s">
        <v>361</v>
      </c>
      <c r="C23" s="7" t="s">
        <v>323</v>
      </c>
      <c r="D23" s="7"/>
      <c r="E23" s="7" t="s">
        <v>329</v>
      </c>
      <c r="F23" s="7" t="s">
        <v>344</v>
      </c>
      <c r="G23" s="7" t="s">
        <v>345</v>
      </c>
      <c r="H23" s="7"/>
      <c r="I23" s="7"/>
    </row>
    <row r="24" customFormat="false" ht="15" hidden="false" customHeight="true" outlineLevel="0" collapsed="false">
      <c r="A24" s="7" t="s">
        <v>322</v>
      </c>
      <c r="B24" s="7" t="s">
        <v>60</v>
      </c>
      <c r="C24" s="7" t="s">
        <v>323</v>
      </c>
      <c r="D24" s="7"/>
      <c r="E24" s="7" t="s">
        <v>329</v>
      </c>
      <c r="F24" s="7" t="s">
        <v>344</v>
      </c>
      <c r="G24" s="7" t="s">
        <v>345</v>
      </c>
      <c r="H24" s="7"/>
      <c r="I24" s="7"/>
    </row>
    <row r="25" customFormat="false" ht="15" hidden="false" customHeight="true" outlineLevel="0" collapsed="false">
      <c r="A25" s="7" t="s">
        <v>322</v>
      </c>
      <c r="B25" s="7" t="s">
        <v>362</v>
      </c>
      <c r="C25" s="7" t="s">
        <v>323</v>
      </c>
      <c r="D25" s="7"/>
      <c r="E25" s="7" t="s">
        <v>329</v>
      </c>
      <c r="F25" s="7" t="s">
        <v>344</v>
      </c>
      <c r="G25" s="7" t="s">
        <v>345</v>
      </c>
      <c r="H25" s="7"/>
      <c r="I25" s="7"/>
    </row>
    <row r="26" customFormat="false" ht="15" hidden="false" customHeight="true" outlineLevel="0" collapsed="false">
      <c r="A26" s="7" t="s">
        <v>322</v>
      </c>
      <c r="B26" s="7" t="s">
        <v>363</v>
      </c>
      <c r="C26" s="7" t="s">
        <v>323</v>
      </c>
      <c r="D26" s="7"/>
      <c r="E26" s="7" t="s">
        <v>329</v>
      </c>
      <c r="F26" s="7" t="s">
        <v>344</v>
      </c>
      <c r="G26" s="7" t="s">
        <v>345</v>
      </c>
      <c r="H26" s="7"/>
      <c r="I26" s="7"/>
    </row>
    <row r="27" customFormat="false" ht="15" hidden="false" customHeight="true" outlineLevel="0" collapsed="false">
      <c r="A27" s="7" t="s">
        <v>322</v>
      </c>
      <c r="B27" s="7" t="s">
        <v>364</v>
      </c>
      <c r="C27" s="7" t="s">
        <v>323</v>
      </c>
      <c r="D27" s="7"/>
      <c r="E27" s="7" t="s">
        <v>329</v>
      </c>
      <c r="F27" s="7" t="s">
        <v>344</v>
      </c>
      <c r="G27" s="7" t="s">
        <v>345</v>
      </c>
      <c r="H27" s="7"/>
      <c r="I27" s="7"/>
    </row>
    <row r="28" customFormat="false" ht="15" hidden="false" customHeight="true" outlineLevel="0" collapsed="false">
      <c r="A28" s="7" t="s">
        <v>322</v>
      </c>
      <c r="B28" s="7" t="s">
        <v>365</v>
      </c>
      <c r="C28" s="7" t="s">
        <v>323</v>
      </c>
      <c r="D28" s="7"/>
      <c r="E28" s="7" t="s">
        <v>329</v>
      </c>
      <c r="F28" s="7" t="s">
        <v>330</v>
      </c>
      <c r="G28" s="7" t="s">
        <v>331</v>
      </c>
      <c r="H28" s="7"/>
      <c r="I28" s="7"/>
    </row>
    <row r="29" customFormat="false" ht="15" hidden="false" customHeight="true" outlineLevel="0" collapsed="false">
      <c r="A29" s="7" t="s">
        <v>322</v>
      </c>
      <c r="B29" s="7" t="s">
        <v>366</v>
      </c>
      <c r="C29" s="7" t="s">
        <v>323</v>
      </c>
      <c r="D29" s="7"/>
      <c r="E29" s="7" t="s">
        <v>329</v>
      </c>
      <c r="F29" s="7" t="s">
        <v>330</v>
      </c>
      <c r="G29" s="7" t="s">
        <v>331</v>
      </c>
      <c r="H29" s="7"/>
      <c r="I29" s="7"/>
    </row>
    <row r="30" customFormat="false" ht="15" hidden="false" customHeight="true" outlineLevel="0" collapsed="false">
      <c r="A30" s="7" t="s">
        <v>322</v>
      </c>
      <c r="B30" s="7" t="s">
        <v>367</v>
      </c>
      <c r="C30" s="7" t="s">
        <v>323</v>
      </c>
      <c r="D30" s="7"/>
      <c r="E30" s="7" t="s">
        <v>329</v>
      </c>
      <c r="F30" s="7" t="s">
        <v>330</v>
      </c>
      <c r="G30" s="7" t="s">
        <v>331</v>
      </c>
      <c r="H30" s="7"/>
      <c r="I30" s="7"/>
    </row>
    <row r="31" customFormat="false" ht="15" hidden="false" customHeight="true" outlineLevel="0" collapsed="false">
      <c r="A31" s="7" t="s">
        <v>322</v>
      </c>
      <c r="B31" s="7" t="s">
        <v>368</v>
      </c>
      <c r="C31" s="7" t="s">
        <v>323</v>
      </c>
      <c r="D31" s="7"/>
      <c r="E31" s="7" t="s">
        <v>329</v>
      </c>
      <c r="F31" s="7" t="s">
        <v>330</v>
      </c>
      <c r="G31" s="7" t="s">
        <v>331</v>
      </c>
      <c r="H31" s="7"/>
      <c r="I31" s="7"/>
    </row>
    <row r="32" customFormat="false" ht="15" hidden="false" customHeight="true" outlineLevel="0" collapsed="false">
      <c r="A32" s="7" t="s">
        <v>322</v>
      </c>
      <c r="B32" s="7" t="s">
        <v>155</v>
      </c>
      <c r="C32" s="7" t="s">
        <v>323</v>
      </c>
      <c r="D32" s="7"/>
      <c r="E32" s="7" t="s">
        <v>329</v>
      </c>
      <c r="F32" s="7" t="s">
        <v>330</v>
      </c>
      <c r="G32" s="7" t="s">
        <v>331</v>
      </c>
      <c r="H32" s="7"/>
      <c r="I32" s="7"/>
    </row>
    <row r="33" customFormat="false" ht="15" hidden="false" customHeight="true" outlineLevel="0" collapsed="false">
      <c r="A33" s="7" t="s">
        <v>322</v>
      </c>
      <c r="B33" s="7" t="s">
        <v>369</v>
      </c>
      <c r="C33" s="7" t="s">
        <v>323</v>
      </c>
      <c r="D33" s="7"/>
      <c r="E33" s="7" t="s">
        <v>329</v>
      </c>
      <c r="F33" s="7" t="s">
        <v>330</v>
      </c>
      <c r="G33" s="7" t="s">
        <v>331</v>
      </c>
      <c r="H33" s="7"/>
      <c r="I33" s="7"/>
    </row>
    <row r="34" customFormat="false" ht="15" hidden="false" customHeight="true" outlineLevel="0" collapsed="false">
      <c r="A34" s="7" t="s">
        <v>322</v>
      </c>
      <c r="B34" s="7" t="s">
        <v>370</v>
      </c>
      <c r="C34" s="7" t="s">
        <v>323</v>
      </c>
      <c r="D34" s="7"/>
      <c r="E34" s="7" t="s">
        <v>329</v>
      </c>
      <c r="F34" s="7" t="s">
        <v>330</v>
      </c>
      <c r="G34" s="7" t="s">
        <v>331</v>
      </c>
      <c r="H34" s="7"/>
      <c r="I34" s="7"/>
    </row>
    <row r="35" customFormat="false" ht="15" hidden="false" customHeight="true" outlineLevel="0" collapsed="false">
      <c r="A35" s="7" t="s">
        <v>322</v>
      </c>
      <c r="B35" s="7" t="s">
        <v>371</v>
      </c>
      <c r="C35" s="7" t="s">
        <v>323</v>
      </c>
      <c r="D35" s="7"/>
      <c r="E35" s="7" t="s">
        <v>329</v>
      </c>
      <c r="F35" s="7" t="s">
        <v>330</v>
      </c>
      <c r="G35" s="7" t="s">
        <v>331</v>
      </c>
      <c r="H35" s="7"/>
      <c r="I35" s="7"/>
    </row>
    <row r="36" customFormat="false" ht="15" hidden="false" customHeight="true" outlineLevel="0" collapsed="false">
      <c r="A36" s="7" t="s">
        <v>322</v>
      </c>
      <c r="B36" s="7" t="s">
        <v>372</v>
      </c>
      <c r="C36" s="7" t="s">
        <v>323</v>
      </c>
      <c r="D36" s="7"/>
      <c r="E36" s="7" t="s">
        <v>329</v>
      </c>
      <c r="F36" s="7" t="s">
        <v>330</v>
      </c>
      <c r="G36" s="7" t="s">
        <v>331</v>
      </c>
      <c r="H36" s="7"/>
      <c r="I36" s="7"/>
    </row>
    <row r="37" customFormat="false" ht="15" hidden="false" customHeight="true" outlineLevel="0" collapsed="false">
      <c r="A37" s="7" t="s">
        <v>322</v>
      </c>
      <c r="B37" s="7" t="s">
        <v>373</v>
      </c>
      <c r="C37" s="7" t="s">
        <v>323</v>
      </c>
      <c r="D37" s="7"/>
      <c r="E37" s="7" t="s">
        <v>329</v>
      </c>
      <c r="F37" s="7" t="s">
        <v>330</v>
      </c>
      <c r="G37" s="7" t="s">
        <v>331</v>
      </c>
      <c r="H37" s="7"/>
      <c r="I37" s="7"/>
    </row>
    <row r="38" customFormat="false" ht="15" hidden="false" customHeight="true" outlineLevel="0" collapsed="false">
      <c r="A38" s="7" t="s">
        <v>374</v>
      </c>
      <c r="B38" s="7" t="s">
        <v>23</v>
      </c>
      <c r="C38" s="7" t="s">
        <v>323</v>
      </c>
      <c r="D38" s="7"/>
      <c r="E38" s="7" t="s">
        <v>324</v>
      </c>
      <c r="F38" s="7" t="s">
        <v>325</v>
      </c>
      <c r="G38" s="7" t="s">
        <v>326</v>
      </c>
      <c r="H38" s="7" t="s">
        <v>375</v>
      </c>
      <c r="I38" s="7"/>
    </row>
    <row r="39" customFormat="false" ht="15" hidden="false" customHeight="true" outlineLevel="0" collapsed="false">
      <c r="A39" s="7" t="s">
        <v>374</v>
      </c>
      <c r="B39" s="7" t="s">
        <v>49</v>
      </c>
      <c r="C39" s="7" t="s">
        <v>323</v>
      </c>
      <c r="D39" s="7"/>
      <c r="E39" s="7" t="s">
        <v>329</v>
      </c>
      <c r="F39" s="7" t="s">
        <v>330</v>
      </c>
      <c r="G39" s="7" t="s">
        <v>331</v>
      </c>
      <c r="H39" s="7"/>
      <c r="I39" s="7"/>
    </row>
    <row r="40" customFormat="false" ht="15" hidden="false" customHeight="true" outlineLevel="0" collapsed="false">
      <c r="A40" s="7" t="s">
        <v>374</v>
      </c>
      <c r="B40" s="7" t="s">
        <v>376</v>
      </c>
      <c r="C40" s="7" t="s">
        <v>323</v>
      </c>
      <c r="D40" s="7"/>
      <c r="E40" s="7" t="s">
        <v>329</v>
      </c>
      <c r="F40" s="7" t="s">
        <v>330</v>
      </c>
      <c r="G40" s="7" t="s">
        <v>331</v>
      </c>
      <c r="H40" s="7"/>
      <c r="I40" s="7"/>
    </row>
    <row r="41" customFormat="false" ht="15" hidden="false" customHeight="true" outlineLevel="0" collapsed="false">
      <c r="A41" s="13" t="s">
        <v>374</v>
      </c>
      <c r="B41" s="13" t="s">
        <v>96</v>
      </c>
      <c r="C41" s="13" t="s">
        <v>332</v>
      </c>
      <c r="D41" s="13" t="s">
        <v>333</v>
      </c>
      <c r="E41" s="13" t="s">
        <v>329</v>
      </c>
      <c r="F41" s="13" t="s">
        <v>325</v>
      </c>
      <c r="G41" s="13" t="s">
        <v>334</v>
      </c>
      <c r="H41" s="13" t="s">
        <v>377</v>
      </c>
      <c r="I41" s="13" t="s">
        <v>378</v>
      </c>
      <c r="J41" s="13" t="s">
        <v>379</v>
      </c>
    </row>
    <row r="42" customFormat="false" ht="15" hidden="false" customHeight="true" outlineLevel="0" collapsed="false">
      <c r="A42" s="7" t="s">
        <v>374</v>
      </c>
      <c r="B42" s="7" t="s">
        <v>190</v>
      </c>
      <c r="C42" s="7" t="s">
        <v>323</v>
      </c>
      <c r="D42" s="7"/>
      <c r="E42" s="7" t="s">
        <v>329</v>
      </c>
      <c r="F42" s="7" t="s">
        <v>380</v>
      </c>
      <c r="G42" s="7" t="s">
        <v>381</v>
      </c>
      <c r="H42" s="7" t="s">
        <v>382</v>
      </c>
      <c r="I42" s="7"/>
    </row>
    <row r="43" customFormat="false" ht="15" hidden="false" customHeight="true" outlineLevel="0" collapsed="false">
      <c r="A43" s="7" t="s">
        <v>374</v>
      </c>
      <c r="B43" s="7" t="s">
        <v>383</v>
      </c>
      <c r="C43" s="7" t="s">
        <v>323</v>
      </c>
      <c r="D43" s="7"/>
      <c r="E43" s="7" t="s">
        <v>329</v>
      </c>
      <c r="F43" s="7" t="s">
        <v>330</v>
      </c>
      <c r="G43" s="7" t="s">
        <v>331</v>
      </c>
      <c r="H43" s="7"/>
      <c r="I43" s="7"/>
    </row>
    <row r="44" customFormat="false" ht="15" hidden="false" customHeight="true" outlineLevel="0" collapsed="false">
      <c r="A44" s="7" t="s">
        <v>374</v>
      </c>
      <c r="B44" s="7" t="s">
        <v>384</v>
      </c>
      <c r="C44" s="7" t="s">
        <v>323</v>
      </c>
      <c r="D44" s="7"/>
      <c r="E44" s="7" t="s">
        <v>329</v>
      </c>
      <c r="F44" s="7" t="s">
        <v>330</v>
      </c>
      <c r="G44" s="7" t="s">
        <v>331</v>
      </c>
      <c r="H44" s="7"/>
      <c r="I44" s="7"/>
    </row>
    <row r="45" customFormat="false" ht="15" hidden="false" customHeight="true" outlineLevel="0" collapsed="false">
      <c r="A45" s="6" t="s">
        <v>374</v>
      </c>
      <c r="B45" s="6" t="s">
        <v>166</v>
      </c>
      <c r="C45" s="6" t="s">
        <v>332</v>
      </c>
      <c r="D45" s="6" t="s">
        <v>347</v>
      </c>
      <c r="E45" s="6" t="s">
        <v>329</v>
      </c>
      <c r="F45" s="6" t="s">
        <v>344</v>
      </c>
      <c r="G45" s="6" t="s">
        <v>345</v>
      </c>
      <c r="H45" s="6"/>
      <c r="I45" s="6" t="s">
        <v>354</v>
      </c>
      <c r="J45" s="6" t="s">
        <v>385</v>
      </c>
    </row>
    <row r="46" customFormat="false" ht="15" hidden="false" customHeight="true" outlineLevel="0" collapsed="false">
      <c r="A46" s="13" t="s">
        <v>374</v>
      </c>
      <c r="B46" s="13" t="s">
        <v>386</v>
      </c>
      <c r="C46" s="13" t="s">
        <v>332</v>
      </c>
      <c r="D46" s="13" t="s">
        <v>387</v>
      </c>
      <c r="E46" s="13" t="s">
        <v>329</v>
      </c>
      <c r="F46" s="13" t="s">
        <v>344</v>
      </c>
      <c r="G46" s="13" t="s">
        <v>345</v>
      </c>
      <c r="H46" s="13"/>
      <c r="I46" s="13"/>
    </row>
    <row r="47" customFormat="false" ht="15" hidden="false" customHeight="true" outlineLevel="0" collapsed="false">
      <c r="A47" s="7" t="s">
        <v>374</v>
      </c>
      <c r="B47" s="7" t="s">
        <v>105</v>
      </c>
      <c r="C47" s="7" t="s">
        <v>323</v>
      </c>
      <c r="D47" s="7"/>
      <c r="E47" s="7" t="s">
        <v>329</v>
      </c>
      <c r="F47" s="7" t="s">
        <v>344</v>
      </c>
      <c r="G47" s="7" t="s">
        <v>345</v>
      </c>
      <c r="H47" s="7"/>
      <c r="I47" s="7"/>
    </row>
    <row r="48" customFormat="false" ht="15" hidden="false" customHeight="true" outlineLevel="0" collapsed="false">
      <c r="A48" s="7" t="s">
        <v>374</v>
      </c>
      <c r="B48" s="7" t="s">
        <v>388</v>
      </c>
      <c r="C48" s="7" t="s">
        <v>323</v>
      </c>
      <c r="D48" s="7"/>
      <c r="E48" s="7" t="s">
        <v>329</v>
      </c>
      <c r="F48" s="7" t="s">
        <v>344</v>
      </c>
      <c r="G48" s="7" t="s">
        <v>345</v>
      </c>
      <c r="H48" s="7"/>
      <c r="I48" s="7"/>
    </row>
    <row r="49" customFormat="false" ht="15" hidden="false" customHeight="true" outlineLevel="0" collapsed="false">
      <c r="A49" s="13" t="s">
        <v>374</v>
      </c>
      <c r="B49" s="13" t="s">
        <v>348</v>
      </c>
      <c r="C49" s="13" t="s">
        <v>332</v>
      </c>
      <c r="D49" s="13" t="s">
        <v>347</v>
      </c>
      <c r="E49" s="13" t="s">
        <v>329</v>
      </c>
      <c r="F49" s="13" t="s">
        <v>344</v>
      </c>
      <c r="G49" s="13" t="s">
        <v>345</v>
      </c>
      <c r="H49" s="13"/>
      <c r="I49" s="13"/>
    </row>
    <row r="50" customFormat="false" ht="15" hidden="false" customHeight="true" outlineLevel="0" collapsed="false">
      <c r="A50" s="7" t="s">
        <v>374</v>
      </c>
      <c r="B50" s="7" t="s">
        <v>349</v>
      </c>
      <c r="C50" s="7" t="s">
        <v>323</v>
      </c>
      <c r="D50" s="7"/>
      <c r="E50" s="7" t="s">
        <v>329</v>
      </c>
      <c r="F50" s="7" t="s">
        <v>344</v>
      </c>
      <c r="G50" s="7" t="s">
        <v>345</v>
      </c>
      <c r="H50" s="7"/>
      <c r="I50" s="7"/>
    </row>
    <row r="51" customFormat="false" ht="15" hidden="false" customHeight="true" outlineLevel="0" collapsed="false">
      <c r="A51" s="7" t="s">
        <v>374</v>
      </c>
      <c r="B51" s="7" t="s">
        <v>389</v>
      </c>
      <c r="C51" s="7" t="s">
        <v>323</v>
      </c>
      <c r="D51" s="7"/>
      <c r="E51" s="7" t="s">
        <v>329</v>
      </c>
      <c r="F51" s="7" t="s">
        <v>344</v>
      </c>
      <c r="G51" s="7" t="s">
        <v>345</v>
      </c>
      <c r="H51" s="7"/>
      <c r="I51" s="7"/>
    </row>
    <row r="52" customFormat="false" ht="15" hidden="false" customHeight="true" outlineLevel="0" collapsed="false">
      <c r="A52" s="7" t="s">
        <v>374</v>
      </c>
      <c r="B52" s="7" t="s">
        <v>352</v>
      </c>
      <c r="C52" s="7" t="s">
        <v>323</v>
      </c>
      <c r="D52" s="7"/>
      <c r="E52" s="7" t="s">
        <v>329</v>
      </c>
      <c r="F52" s="7" t="s">
        <v>344</v>
      </c>
      <c r="G52" s="7" t="s">
        <v>345</v>
      </c>
      <c r="H52" s="7"/>
      <c r="I52" s="7"/>
    </row>
    <row r="53" customFormat="false" ht="15" hidden="false" customHeight="true" outlineLevel="0" collapsed="false">
      <c r="A53" s="7" t="s">
        <v>374</v>
      </c>
      <c r="B53" s="7" t="s">
        <v>353</v>
      </c>
      <c r="C53" s="7" t="s">
        <v>323</v>
      </c>
      <c r="D53" s="7"/>
      <c r="E53" s="7" t="s">
        <v>329</v>
      </c>
      <c r="F53" s="7" t="s">
        <v>344</v>
      </c>
      <c r="G53" s="7" t="s">
        <v>345</v>
      </c>
      <c r="H53" s="7"/>
      <c r="I53" s="7"/>
    </row>
    <row r="54" customFormat="false" ht="15" hidden="false" customHeight="true" outlineLevel="0" collapsed="false">
      <c r="A54" s="7" t="s">
        <v>374</v>
      </c>
      <c r="B54" s="7" t="s">
        <v>390</v>
      </c>
      <c r="C54" s="7" t="s">
        <v>323</v>
      </c>
      <c r="D54" s="7"/>
      <c r="E54" s="7" t="s">
        <v>329</v>
      </c>
      <c r="F54" s="7" t="s">
        <v>344</v>
      </c>
      <c r="G54" s="7" t="s">
        <v>345</v>
      </c>
      <c r="H54" s="7"/>
      <c r="I54" s="7"/>
    </row>
    <row r="55" customFormat="false" ht="15" hidden="false" customHeight="true" outlineLevel="0" collapsed="false">
      <c r="A55" s="7" t="s">
        <v>374</v>
      </c>
      <c r="B55" s="7" t="s">
        <v>391</v>
      </c>
      <c r="C55" s="7" t="s">
        <v>323</v>
      </c>
      <c r="D55" s="7"/>
      <c r="E55" s="7" t="s">
        <v>329</v>
      </c>
      <c r="F55" s="7" t="s">
        <v>344</v>
      </c>
      <c r="G55" s="7" t="s">
        <v>345</v>
      </c>
      <c r="H55" s="7"/>
      <c r="I55" s="7"/>
    </row>
    <row r="56" customFormat="false" ht="15" hidden="false" customHeight="true" outlineLevel="0" collapsed="false">
      <c r="A56" s="7" t="s">
        <v>374</v>
      </c>
      <c r="B56" s="7" t="s">
        <v>356</v>
      </c>
      <c r="C56" s="7" t="s">
        <v>323</v>
      </c>
      <c r="D56" s="7"/>
      <c r="E56" s="7" t="s">
        <v>329</v>
      </c>
      <c r="F56" s="7" t="s">
        <v>344</v>
      </c>
      <c r="G56" s="7" t="s">
        <v>345</v>
      </c>
      <c r="H56" s="7"/>
      <c r="I56" s="7"/>
    </row>
    <row r="57" customFormat="false" ht="15" hidden="false" customHeight="true" outlineLevel="0" collapsed="false">
      <c r="A57" s="7" t="s">
        <v>374</v>
      </c>
      <c r="B57" s="7" t="s">
        <v>108</v>
      </c>
      <c r="C57" s="7" t="s">
        <v>323</v>
      </c>
      <c r="D57" s="7"/>
      <c r="E57" s="7" t="s">
        <v>329</v>
      </c>
      <c r="F57" s="7" t="s">
        <v>344</v>
      </c>
      <c r="G57" s="7" t="s">
        <v>345</v>
      </c>
      <c r="H57" s="7"/>
      <c r="I57" s="7"/>
    </row>
    <row r="58" customFormat="false" ht="15" hidden="false" customHeight="true" outlineLevel="0" collapsed="false">
      <c r="A58" s="7" t="s">
        <v>374</v>
      </c>
      <c r="B58" s="7" t="s">
        <v>392</v>
      </c>
      <c r="C58" s="7" t="s">
        <v>323</v>
      </c>
      <c r="D58" s="7"/>
      <c r="E58" s="7" t="s">
        <v>329</v>
      </c>
      <c r="F58" s="7" t="s">
        <v>344</v>
      </c>
      <c r="G58" s="7" t="s">
        <v>345</v>
      </c>
      <c r="H58" s="7"/>
      <c r="I58" s="7"/>
    </row>
    <row r="59" customFormat="false" ht="15" hidden="false" customHeight="true" outlineLevel="0" collapsed="false">
      <c r="A59" s="7" t="s">
        <v>374</v>
      </c>
      <c r="B59" s="7" t="s">
        <v>393</v>
      </c>
      <c r="C59" s="7" t="s">
        <v>323</v>
      </c>
      <c r="D59" s="7"/>
      <c r="E59" s="7" t="s">
        <v>329</v>
      </c>
      <c r="F59" s="7" t="s">
        <v>344</v>
      </c>
      <c r="G59" s="7" t="s">
        <v>345</v>
      </c>
      <c r="H59" s="7"/>
      <c r="I59" s="7"/>
    </row>
    <row r="60" customFormat="false" ht="15" hidden="false" customHeight="true" outlineLevel="0" collapsed="false">
      <c r="A60" s="7" t="s">
        <v>374</v>
      </c>
      <c r="B60" s="7" t="s">
        <v>394</v>
      </c>
      <c r="C60" s="7" t="s">
        <v>323</v>
      </c>
      <c r="D60" s="7"/>
      <c r="E60" s="7" t="s">
        <v>329</v>
      </c>
      <c r="F60" s="7" t="s">
        <v>344</v>
      </c>
      <c r="G60" s="7" t="s">
        <v>345</v>
      </c>
      <c r="H60" s="7"/>
      <c r="I60" s="7"/>
    </row>
    <row r="61" customFormat="false" ht="15" hidden="false" customHeight="true" outlineLevel="0" collapsed="false">
      <c r="A61" s="13" t="s">
        <v>374</v>
      </c>
      <c r="B61" s="13" t="s">
        <v>395</v>
      </c>
      <c r="C61" s="13" t="s">
        <v>332</v>
      </c>
      <c r="D61" s="13" t="s">
        <v>347</v>
      </c>
      <c r="E61" s="13" t="s">
        <v>329</v>
      </c>
      <c r="F61" s="13" t="s">
        <v>344</v>
      </c>
      <c r="G61" s="13" t="s">
        <v>345</v>
      </c>
      <c r="H61" s="13"/>
      <c r="I61" s="13"/>
    </row>
    <row r="62" customFormat="false" ht="15" hidden="false" customHeight="true" outlineLevel="0" collapsed="false">
      <c r="A62" s="7" t="s">
        <v>374</v>
      </c>
      <c r="B62" s="7" t="s">
        <v>396</v>
      </c>
      <c r="C62" s="7" t="s">
        <v>323</v>
      </c>
      <c r="D62" s="7"/>
      <c r="E62" s="7" t="s">
        <v>329</v>
      </c>
      <c r="F62" s="7" t="s">
        <v>344</v>
      </c>
      <c r="G62" s="7" t="s">
        <v>345</v>
      </c>
      <c r="H62" s="7"/>
      <c r="I62" s="7"/>
    </row>
    <row r="63" customFormat="false" ht="15" hidden="false" customHeight="true" outlineLevel="0" collapsed="false">
      <c r="A63" s="7" t="s">
        <v>374</v>
      </c>
      <c r="B63" s="7" t="s">
        <v>116</v>
      </c>
      <c r="C63" s="7" t="s">
        <v>323</v>
      </c>
      <c r="D63" s="7"/>
      <c r="E63" s="7" t="s">
        <v>329</v>
      </c>
      <c r="F63" s="7" t="s">
        <v>344</v>
      </c>
      <c r="G63" s="7" t="s">
        <v>345</v>
      </c>
      <c r="H63" s="7"/>
      <c r="I63" s="7"/>
    </row>
    <row r="64" customFormat="false" ht="15" hidden="false" customHeight="true" outlineLevel="0" collapsed="false">
      <c r="A64" s="7" t="s">
        <v>374</v>
      </c>
      <c r="B64" s="7" t="s">
        <v>397</v>
      </c>
      <c r="C64" s="7" t="s">
        <v>323</v>
      </c>
      <c r="D64" s="7"/>
      <c r="E64" s="7" t="s">
        <v>329</v>
      </c>
      <c r="F64" s="7" t="s">
        <v>344</v>
      </c>
      <c r="G64" s="7" t="s">
        <v>345</v>
      </c>
      <c r="H64" s="7"/>
      <c r="I64" s="7"/>
    </row>
    <row r="65" customFormat="false" ht="15" hidden="false" customHeight="true" outlineLevel="0" collapsed="false">
      <c r="A65" s="7" t="s">
        <v>374</v>
      </c>
      <c r="B65" s="7" t="s">
        <v>398</v>
      </c>
      <c r="C65" s="7" t="s">
        <v>323</v>
      </c>
      <c r="D65" s="7"/>
      <c r="E65" s="7" t="s">
        <v>329</v>
      </c>
      <c r="F65" s="7" t="s">
        <v>344</v>
      </c>
      <c r="G65" s="7" t="s">
        <v>345</v>
      </c>
      <c r="H65" s="7"/>
      <c r="I65" s="7"/>
    </row>
    <row r="66" customFormat="false" ht="15" hidden="false" customHeight="true" outlineLevel="0" collapsed="false">
      <c r="A66" s="7" t="s">
        <v>374</v>
      </c>
      <c r="B66" s="7" t="s">
        <v>399</v>
      </c>
      <c r="C66" s="7" t="s">
        <v>323</v>
      </c>
      <c r="D66" s="7"/>
      <c r="E66" s="7" t="s">
        <v>329</v>
      </c>
      <c r="F66" s="7" t="s">
        <v>344</v>
      </c>
      <c r="G66" s="7" t="s">
        <v>345</v>
      </c>
      <c r="H66" s="7"/>
      <c r="I66" s="7"/>
    </row>
    <row r="67" customFormat="false" ht="15" hidden="false" customHeight="true" outlineLevel="0" collapsed="false">
      <c r="A67" s="7" t="s">
        <v>374</v>
      </c>
      <c r="B67" s="7" t="s">
        <v>168</v>
      </c>
      <c r="C67" s="7" t="s">
        <v>323</v>
      </c>
      <c r="D67" s="7"/>
      <c r="E67" s="7" t="s">
        <v>329</v>
      </c>
      <c r="F67" s="7" t="s">
        <v>330</v>
      </c>
      <c r="G67" s="7" t="s">
        <v>331</v>
      </c>
      <c r="H67" s="7"/>
      <c r="I67" s="7"/>
    </row>
    <row r="68" customFormat="false" ht="15" hidden="false" customHeight="true" outlineLevel="0" collapsed="false">
      <c r="A68" s="7" t="s">
        <v>374</v>
      </c>
      <c r="B68" s="7" t="s">
        <v>360</v>
      </c>
      <c r="C68" s="7" t="s">
        <v>323</v>
      </c>
      <c r="D68" s="7"/>
      <c r="E68" s="7" t="s">
        <v>329</v>
      </c>
      <c r="F68" s="7" t="s">
        <v>330</v>
      </c>
      <c r="G68" s="7" t="s">
        <v>331</v>
      </c>
      <c r="H68" s="7"/>
      <c r="I68" s="7"/>
    </row>
    <row r="69" customFormat="false" ht="15" hidden="false" customHeight="true" outlineLevel="0" collapsed="false">
      <c r="A69" s="7" t="s">
        <v>374</v>
      </c>
      <c r="B69" s="7" t="s">
        <v>400</v>
      </c>
      <c r="C69" s="7" t="s">
        <v>323</v>
      </c>
      <c r="D69" s="7"/>
      <c r="E69" s="7" t="s">
        <v>329</v>
      </c>
      <c r="F69" s="7" t="s">
        <v>330</v>
      </c>
      <c r="G69" s="7" t="s">
        <v>331</v>
      </c>
      <c r="H69" s="7"/>
      <c r="I69" s="7"/>
    </row>
    <row r="70" customFormat="false" ht="15" hidden="false" customHeight="true" outlineLevel="0" collapsed="false">
      <c r="A70" s="7" t="s">
        <v>374</v>
      </c>
      <c r="B70" s="7" t="s">
        <v>401</v>
      </c>
      <c r="C70" s="7" t="s">
        <v>323</v>
      </c>
      <c r="D70" s="7"/>
      <c r="E70" s="7" t="s">
        <v>329</v>
      </c>
      <c r="F70" s="7" t="s">
        <v>330</v>
      </c>
      <c r="G70" s="7" t="s">
        <v>331</v>
      </c>
      <c r="H70" s="7"/>
      <c r="I70" s="7"/>
    </row>
    <row r="71" customFormat="false" ht="15" hidden="false" customHeight="true" outlineLevel="0" collapsed="false">
      <c r="A71" s="7" t="s">
        <v>374</v>
      </c>
      <c r="B71" s="7" t="s">
        <v>402</v>
      </c>
      <c r="C71" s="7" t="s">
        <v>323</v>
      </c>
      <c r="D71" s="7"/>
      <c r="E71" s="7" t="s">
        <v>329</v>
      </c>
      <c r="F71" s="7" t="s">
        <v>330</v>
      </c>
      <c r="G71" s="7" t="s">
        <v>331</v>
      </c>
      <c r="H71" s="7"/>
      <c r="I71" s="7"/>
    </row>
    <row r="72" customFormat="false" ht="15" hidden="false" customHeight="true" outlineLevel="0" collapsed="false">
      <c r="A72" s="7" t="s">
        <v>374</v>
      </c>
      <c r="B72" s="7" t="s">
        <v>403</v>
      </c>
      <c r="C72" s="7" t="s">
        <v>323</v>
      </c>
      <c r="D72" s="7"/>
      <c r="E72" s="7" t="s">
        <v>329</v>
      </c>
      <c r="F72" s="7" t="s">
        <v>330</v>
      </c>
      <c r="G72" s="7" t="s">
        <v>331</v>
      </c>
      <c r="H72" s="7"/>
      <c r="I72" s="7"/>
    </row>
    <row r="73" customFormat="false" ht="15" hidden="false" customHeight="true" outlineLevel="0" collapsed="false">
      <c r="A73" s="6" t="s">
        <v>374</v>
      </c>
      <c r="B73" s="6" t="s">
        <v>149</v>
      </c>
      <c r="C73" s="6" t="s">
        <v>332</v>
      </c>
      <c r="D73" s="6" t="s">
        <v>347</v>
      </c>
      <c r="E73" s="6" t="s">
        <v>329</v>
      </c>
      <c r="F73" s="6" t="s">
        <v>404</v>
      </c>
      <c r="G73" s="6" t="s">
        <v>331</v>
      </c>
      <c r="H73" s="6" t="s">
        <v>405</v>
      </c>
      <c r="I73" s="6" t="s">
        <v>406</v>
      </c>
      <c r="J73" s="6" t="s">
        <v>407</v>
      </c>
    </row>
    <row r="74" customFormat="false" ht="15" hidden="false" customHeight="true" outlineLevel="0" collapsed="false">
      <c r="A74" s="7" t="s">
        <v>374</v>
      </c>
      <c r="B74" s="7" t="s">
        <v>364</v>
      </c>
      <c r="C74" s="7" t="s">
        <v>323</v>
      </c>
      <c r="D74" s="7"/>
      <c r="E74" s="7" t="s">
        <v>329</v>
      </c>
      <c r="F74" s="7" t="s">
        <v>330</v>
      </c>
      <c r="G74" s="7" t="s">
        <v>331</v>
      </c>
      <c r="H74" s="7"/>
      <c r="I74" s="7"/>
    </row>
    <row r="75" customFormat="false" ht="15" hidden="false" customHeight="true" outlineLevel="0" collapsed="false">
      <c r="A75" s="7" t="s">
        <v>374</v>
      </c>
      <c r="B75" s="7" t="s">
        <v>119</v>
      </c>
      <c r="C75" s="7" t="s">
        <v>323</v>
      </c>
      <c r="D75" s="7"/>
      <c r="E75" s="7" t="s">
        <v>329</v>
      </c>
      <c r="F75" s="7" t="s">
        <v>330</v>
      </c>
      <c r="G75" s="7" t="s">
        <v>331</v>
      </c>
      <c r="H75" s="7"/>
      <c r="I75" s="7"/>
    </row>
    <row r="76" customFormat="false" ht="15" hidden="false" customHeight="true" outlineLevel="0" collapsed="false">
      <c r="A76" s="7" t="s">
        <v>374</v>
      </c>
      <c r="B76" s="7" t="s">
        <v>121</v>
      </c>
      <c r="C76" s="7" t="s">
        <v>323</v>
      </c>
      <c r="D76" s="7"/>
      <c r="E76" s="7" t="s">
        <v>329</v>
      </c>
      <c r="F76" s="7" t="s">
        <v>330</v>
      </c>
      <c r="G76" s="7" t="s">
        <v>331</v>
      </c>
      <c r="H76" s="7"/>
      <c r="I76" s="7"/>
    </row>
    <row r="77" customFormat="false" ht="15" hidden="false" customHeight="true" outlineLevel="0" collapsed="false">
      <c r="A77" s="7" t="s">
        <v>374</v>
      </c>
      <c r="B77" s="7" t="s">
        <v>408</v>
      </c>
      <c r="C77" s="7" t="s">
        <v>323</v>
      </c>
      <c r="D77" s="7"/>
      <c r="E77" s="7" t="s">
        <v>329</v>
      </c>
      <c r="F77" s="7" t="s">
        <v>330</v>
      </c>
      <c r="G77" s="7" t="s">
        <v>331</v>
      </c>
      <c r="H77" s="7"/>
      <c r="I77" s="7"/>
    </row>
    <row r="78" customFormat="false" ht="15" hidden="false" customHeight="true" outlineLevel="0" collapsed="false">
      <c r="A78" s="7" t="s">
        <v>374</v>
      </c>
      <c r="B78" s="7" t="s">
        <v>409</v>
      </c>
      <c r="C78" s="7" t="s">
        <v>323</v>
      </c>
      <c r="D78" s="7"/>
      <c r="E78" s="7" t="s">
        <v>329</v>
      </c>
      <c r="F78" s="7" t="s">
        <v>404</v>
      </c>
      <c r="G78" s="7" t="s">
        <v>331</v>
      </c>
      <c r="H78" s="7"/>
      <c r="I78" s="7"/>
    </row>
    <row r="79" customFormat="false" ht="15" hidden="false" customHeight="true" outlineLevel="0" collapsed="false">
      <c r="A79" s="7" t="s">
        <v>374</v>
      </c>
      <c r="B79" s="7" t="s">
        <v>410</v>
      </c>
      <c r="C79" s="7" t="s">
        <v>323</v>
      </c>
      <c r="D79" s="7"/>
      <c r="E79" s="7" t="s">
        <v>329</v>
      </c>
      <c r="F79" s="7" t="s">
        <v>330</v>
      </c>
      <c r="G79" s="7" t="s">
        <v>331</v>
      </c>
      <c r="H79" s="7"/>
      <c r="I79" s="7"/>
    </row>
    <row r="80" customFormat="false" ht="15" hidden="false" customHeight="true" outlineLevel="0" collapsed="false">
      <c r="A80" s="7" t="s">
        <v>374</v>
      </c>
      <c r="B80" s="7" t="s">
        <v>411</v>
      </c>
      <c r="C80" s="7" t="s">
        <v>323</v>
      </c>
      <c r="D80" s="7"/>
      <c r="E80" s="7" t="s">
        <v>329</v>
      </c>
      <c r="F80" s="7" t="s">
        <v>330</v>
      </c>
      <c r="G80" s="7" t="s">
        <v>331</v>
      </c>
      <c r="H80" s="7"/>
      <c r="I80" s="7"/>
    </row>
    <row r="81" customFormat="false" ht="15" hidden="false" customHeight="true" outlineLevel="0" collapsed="false">
      <c r="A81" s="7" t="s">
        <v>374</v>
      </c>
      <c r="B81" s="7" t="s">
        <v>412</v>
      </c>
      <c r="C81" s="7" t="s">
        <v>323</v>
      </c>
      <c r="D81" s="7"/>
      <c r="E81" s="7" t="s">
        <v>329</v>
      </c>
      <c r="F81" s="7" t="s">
        <v>330</v>
      </c>
      <c r="G81" s="7" t="s">
        <v>331</v>
      </c>
      <c r="H81" s="7"/>
      <c r="I81" s="7"/>
    </row>
    <row r="82" customFormat="false" ht="15" hidden="false" customHeight="true" outlineLevel="0" collapsed="false">
      <c r="A82" s="7" t="s">
        <v>374</v>
      </c>
      <c r="B82" s="7" t="s">
        <v>413</v>
      </c>
      <c r="C82" s="7" t="s">
        <v>323</v>
      </c>
      <c r="D82" s="7"/>
      <c r="E82" s="7" t="s">
        <v>329</v>
      </c>
      <c r="F82" s="7" t="s">
        <v>330</v>
      </c>
      <c r="G82" s="7" t="s">
        <v>331</v>
      </c>
      <c r="H82" s="7"/>
      <c r="I82" s="7"/>
    </row>
    <row r="83" customFormat="false" ht="15" hidden="false" customHeight="true" outlineLevel="0" collapsed="false">
      <c r="A83" s="7" t="s">
        <v>374</v>
      </c>
      <c r="B83" s="7" t="s">
        <v>414</v>
      </c>
      <c r="C83" s="7" t="s">
        <v>323</v>
      </c>
      <c r="D83" s="7"/>
      <c r="E83" s="7" t="s">
        <v>329</v>
      </c>
      <c r="F83" s="7" t="s">
        <v>330</v>
      </c>
      <c r="G83" s="7" t="s">
        <v>331</v>
      </c>
      <c r="H83" s="7"/>
      <c r="I83" s="7"/>
    </row>
    <row r="84" customFormat="false" ht="15" hidden="false" customHeight="true" outlineLevel="0" collapsed="false">
      <c r="A84" s="7" t="s">
        <v>374</v>
      </c>
      <c r="B84" s="7" t="s">
        <v>367</v>
      </c>
      <c r="C84" s="7" t="s">
        <v>323</v>
      </c>
      <c r="D84" s="7"/>
      <c r="E84" s="7" t="s">
        <v>329</v>
      </c>
      <c r="F84" s="7" t="s">
        <v>330</v>
      </c>
      <c r="G84" s="7" t="s">
        <v>331</v>
      </c>
      <c r="H84" s="7"/>
      <c r="I84" s="7"/>
    </row>
    <row r="85" customFormat="false" ht="15" hidden="false" customHeight="true" outlineLevel="0" collapsed="false">
      <c r="A85" s="7" t="s">
        <v>374</v>
      </c>
      <c r="B85" s="7" t="s">
        <v>415</v>
      </c>
      <c r="C85" s="7" t="s">
        <v>323</v>
      </c>
      <c r="D85" s="7"/>
      <c r="E85" s="7" t="s">
        <v>329</v>
      </c>
      <c r="F85" s="7" t="s">
        <v>330</v>
      </c>
      <c r="G85" s="7" t="s">
        <v>331</v>
      </c>
      <c r="H85" s="7"/>
      <c r="I85" s="7"/>
    </row>
    <row r="86" customFormat="false" ht="15" hidden="false" customHeight="true" outlineLevel="0" collapsed="false">
      <c r="A86" s="7" t="s">
        <v>374</v>
      </c>
      <c r="B86" s="7" t="s">
        <v>416</v>
      </c>
      <c r="C86" s="7" t="s">
        <v>323</v>
      </c>
      <c r="D86" s="7"/>
      <c r="E86" s="7" t="s">
        <v>329</v>
      </c>
      <c r="F86" s="7" t="s">
        <v>330</v>
      </c>
      <c r="G86" s="7" t="s">
        <v>331</v>
      </c>
      <c r="H86" s="7"/>
      <c r="I86" s="7"/>
    </row>
    <row r="87" customFormat="false" ht="15" hidden="false" customHeight="true" outlineLevel="0" collapsed="false">
      <c r="A87" s="7" t="s">
        <v>374</v>
      </c>
      <c r="B87" s="7" t="s">
        <v>417</v>
      </c>
      <c r="C87" s="7" t="s">
        <v>323</v>
      </c>
      <c r="D87" s="7"/>
      <c r="E87" s="7" t="s">
        <v>329</v>
      </c>
      <c r="F87" s="7" t="s">
        <v>404</v>
      </c>
      <c r="G87" s="7" t="s">
        <v>331</v>
      </c>
      <c r="H87" s="7"/>
      <c r="I87" s="7"/>
    </row>
    <row r="88" customFormat="false" ht="15" hidden="false" customHeight="true" outlineLevel="0" collapsed="false">
      <c r="A88" s="7" t="s">
        <v>374</v>
      </c>
      <c r="B88" s="7" t="s">
        <v>129</v>
      </c>
      <c r="C88" s="7" t="s">
        <v>323</v>
      </c>
      <c r="D88" s="7"/>
      <c r="E88" s="7" t="s">
        <v>329</v>
      </c>
      <c r="F88" s="7" t="s">
        <v>330</v>
      </c>
      <c r="G88" s="7" t="s">
        <v>331</v>
      </c>
      <c r="H88" s="7"/>
      <c r="I88" s="7"/>
    </row>
    <row r="89" customFormat="false" ht="15" hidden="false" customHeight="true" outlineLevel="0" collapsed="false">
      <c r="A89" s="7" t="s">
        <v>374</v>
      </c>
      <c r="B89" s="7" t="s">
        <v>131</v>
      </c>
      <c r="C89" s="7" t="s">
        <v>323</v>
      </c>
      <c r="D89" s="7"/>
      <c r="E89" s="7" t="s">
        <v>329</v>
      </c>
      <c r="F89" s="7" t="s">
        <v>330</v>
      </c>
      <c r="G89" s="7" t="s">
        <v>331</v>
      </c>
      <c r="H89" s="7"/>
      <c r="I89" s="7"/>
    </row>
    <row r="90" customFormat="false" ht="15" hidden="false" customHeight="true" outlineLevel="0" collapsed="false">
      <c r="A90" s="7" t="s">
        <v>374</v>
      </c>
      <c r="B90" s="7" t="s">
        <v>196</v>
      </c>
      <c r="C90" s="7" t="s">
        <v>323</v>
      </c>
      <c r="D90" s="7"/>
      <c r="E90" s="7" t="s">
        <v>329</v>
      </c>
      <c r="F90" s="7" t="s">
        <v>330</v>
      </c>
      <c r="G90" s="7" t="s">
        <v>331</v>
      </c>
      <c r="H90" s="7"/>
      <c r="I90" s="7"/>
    </row>
    <row r="91" customFormat="false" ht="15" hidden="false" customHeight="true" outlineLevel="0" collapsed="false">
      <c r="A91" s="7" t="s">
        <v>374</v>
      </c>
      <c r="B91" s="7" t="s">
        <v>418</v>
      </c>
      <c r="C91" s="7" t="s">
        <v>323</v>
      </c>
      <c r="D91" s="7"/>
      <c r="E91" s="7" t="s">
        <v>329</v>
      </c>
      <c r="F91" s="7" t="s">
        <v>330</v>
      </c>
      <c r="G91" s="7" t="s">
        <v>331</v>
      </c>
      <c r="H91" s="7"/>
      <c r="I91" s="7"/>
    </row>
    <row r="92" customFormat="false" ht="15" hidden="false" customHeight="true" outlineLevel="0" collapsed="false">
      <c r="A92" s="7" t="s">
        <v>374</v>
      </c>
      <c r="B92" s="7" t="s">
        <v>419</v>
      </c>
      <c r="C92" s="7" t="s">
        <v>323</v>
      </c>
      <c r="D92" s="7"/>
      <c r="E92" s="7" t="s">
        <v>329</v>
      </c>
      <c r="F92" s="7" t="s">
        <v>330</v>
      </c>
      <c r="G92" s="7" t="s">
        <v>331</v>
      </c>
      <c r="H92" s="7"/>
      <c r="I92" s="7"/>
    </row>
    <row r="93" customFormat="false" ht="15" hidden="false" customHeight="true" outlineLevel="0" collapsed="false">
      <c r="A93" s="7" t="s">
        <v>374</v>
      </c>
      <c r="B93" s="7" t="s">
        <v>373</v>
      </c>
      <c r="C93" s="7" t="s">
        <v>323</v>
      </c>
      <c r="D93" s="7"/>
      <c r="E93" s="7" t="s">
        <v>329</v>
      </c>
      <c r="F93" s="7" t="s">
        <v>330</v>
      </c>
      <c r="G93" s="7" t="s">
        <v>331</v>
      </c>
      <c r="H93" s="7"/>
      <c r="I93" s="7"/>
    </row>
    <row r="94" customFormat="false" ht="15" hidden="false" customHeight="true" outlineLevel="0" collapsed="false">
      <c r="A94" s="7" t="s">
        <v>374</v>
      </c>
      <c r="B94" s="7" t="s">
        <v>420</v>
      </c>
      <c r="C94" s="7" t="s">
        <v>323</v>
      </c>
      <c r="D94" s="7"/>
      <c r="E94" s="7" t="s">
        <v>329</v>
      </c>
      <c r="F94" s="7" t="s">
        <v>330</v>
      </c>
      <c r="G94" s="7" t="s">
        <v>331</v>
      </c>
      <c r="H94" s="7"/>
      <c r="I94" s="7"/>
    </row>
    <row r="95" customFormat="false" ht="15" hidden="false" customHeight="true" outlineLevel="0" collapsed="false">
      <c r="A95" s="7" t="s">
        <v>421</v>
      </c>
      <c r="B95" s="7" t="s">
        <v>213</v>
      </c>
      <c r="C95" s="7" t="s">
        <v>323</v>
      </c>
      <c r="D95" s="7"/>
      <c r="E95" s="7" t="s">
        <v>324</v>
      </c>
      <c r="F95" s="7" t="s">
        <v>344</v>
      </c>
      <c r="G95" s="7" t="s">
        <v>345</v>
      </c>
      <c r="H95" s="7"/>
      <c r="I95" s="7"/>
    </row>
    <row r="96" customFormat="false" ht="15" hidden="false" customHeight="true" outlineLevel="0" collapsed="false">
      <c r="A96" s="7" t="s">
        <v>421</v>
      </c>
      <c r="B96" s="7" t="s">
        <v>197</v>
      </c>
      <c r="C96" s="7" t="s">
        <v>323</v>
      </c>
      <c r="D96" s="7"/>
      <c r="E96" s="7" t="s">
        <v>324</v>
      </c>
      <c r="F96" s="7" t="s">
        <v>344</v>
      </c>
      <c r="G96" s="7" t="s">
        <v>345</v>
      </c>
      <c r="H96" s="7"/>
      <c r="I96" s="7"/>
    </row>
    <row r="97" customFormat="false" ht="15" hidden="false" customHeight="true" outlineLevel="0" collapsed="false">
      <c r="A97" s="7" t="s">
        <v>421</v>
      </c>
      <c r="B97" s="7" t="s">
        <v>89</v>
      </c>
      <c r="C97" s="7" t="s">
        <v>323</v>
      </c>
      <c r="D97" s="7"/>
      <c r="E97" s="7" t="s">
        <v>324</v>
      </c>
      <c r="F97" s="7" t="s">
        <v>344</v>
      </c>
      <c r="G97" s="7" t="s">
        <v>345</v>
      </c>
      <c r="H97" s="7"/>
      <c r="I97" s="7"/>
    </row>
    <row r="98" customFormat="false" ht="15" hidden="false" customHeight="true" outlineLevel="0" collapsed="false">
      <c r="A98" s="7" t="s">
        <v>421</v>
      </c>
      <c r="B98" s="7" t="s">
        <v>422</v>
      </c>
      <c r="C98" s="7" t="s">
        <v>323</v>
      </c>
      <c r="D98" s="7"/>
      <c r="E98" s="7" t="s">
        <v>324</v>
      </c>
      <c r="F98" s="7" t="s">
        <v>344</v>
      </c>
      <c r="G98" s="7" t="s">
        <v>345</v>
      </c>
      <c r="H98" s="7"/>
      <c r="I98" s="7"/>
    </row>
    <row r="99" customFormat="false" ht="15" hidden="false" customHeight="true" outlineLevel="0" collapsed="false">
      <c r="A99" s="7" t="s">
        <v>421</v>
      </c>
      <c r="B99" s="7" t="s">
        <v>20</v>
      </c>
      <c r="C99" s="7" t="s">
        <v>323</v>
      </c>
      <c r="D99" s="7"/>
      <c r="E99" s="7" t="s">
        <v>324</v>
      </c>
      <c r="F99" s="7" t="s">
        <v>344</v>
      </c>
      <c r="G99" s="7" t="s">
        <v>345</v>
      </c>
      <c r="H99" s="7"/>
      <c r="I99" s="7"/>
    </row>
    <row r="100" customFormat="false" ht="15" hidden="false" customHeight="true" outlineLevel="0" collapsed="false">
      <c r="A100" s="7" t="s">
        <v>421</v>
      </c>
      <c r="B100" s="7" t="s">
        <v>29</v>
      </c>
      <c r="C100" s="7" t="s">
        <v>323</v>
      </c>
      <c r="D100" s="7"/>
      <c r="E100" s="7" t="s">
        <v>324</v>
      </c>
      <c r="F100" s="7" t="s">
        <v>344</v>
      </c>
      <c r="G100" s="7" t="s">
        <v>345</v>
      </c>
      <c r="H100" s="7"/>
      <c r="I100" s="7"/>
    </row>
    <row r="101" customFormat="false" ht="15" hidden="false" customHeight="true" outlineLevel="0" collapsed="false">
      <c r="A101" s="7" t="s">
        <v>421</v>
      </c>
      <c r="B101" s="7" t="s">
        <v>32</v>
      </c>
      <c r="C101" s="7" t="s">
        <v>323</v>
      </c>
      <c r="D101" s="7"/>
      <c r="E101" s="7" t="s">
        <v>324</v>
      </c>
      <c r="F101" s="7" t="s">
        <v>344</v>
      </c>
      <c r="G101" s="7" t="s">
        <v>345</v>
      </c>
      <c r="H101" s="7"/>
      <c r="I101" s="7"/>
    </row>
    <row r="102" customFormat="false" ht="15" hidden="false" customHeight="true" outlineLevel="0" collapsed="false">
      <c r="A102" s="7" t="s">
        <v>421</v>
      </c>
      <c r="B102" s="7" t="s">
        <v>423</v>
      </c>
      <c r="C102" s="7" t="s">
        <v>323</v>
      </c>
      <c r="D102" s="7"/>
      <c r="E102" s="7" t="s">
        <v>324</v>
      </c>
      <c r="F102" s="7" t="s">
        <v>344</v>
      </c>
      <c r="G102" s="7" t="s">
        <v>345</v>
      </c>
      <c r="H102" s="7"/>
      <c r="I102" s="7"/>
    </row>
    <row r="103" customFormat="false" ht="15" hidden="false" customHeight="true" outlineLevel="0" collapsed="false">
      <c r="A103" s="13" t="s">
        <v>421</v>
      </c>
      <c r="B103" s="13" t="s">
        <v>376</v>
      </c>
      <c r="C103" s="13" t="s">
        <v>332</v>
      </c>
      <c r="D103" s="13" t="s">
        <v>347</v>
      </c>
      <c r="E103" s="13" t="s">
        <v>324</v>
      </c>
      <c r="F103" s="13" t="s">
        <v>344</v>
      </c>
      <c r="G103" s="13" t="s">
        <v>345</v>
      </c>
      <c r="H103" s="13"/>
      <c r="I103" s="13"/>
      <c r="J103" s="14"/>
    </row>
    <row r="104" customFormat="false" ht="15" hidden="false" customHeight="true" outlineLevel="0" collapsed="false">
      <c r="A104" s="7" t="s">
        <v>421</v>
      </c>
      <c r="B104" s="7" t="s">
        <v>424</v>
      </c>
      <c r="C104" s="7" t="s">
        <v>323</v>
      </c>
      <c r="D104" s="7"/>
      <c r="E104" s="7" t="s">
        <v>324</v>
      </c>
      <c r="F104" s="7" t="s">
        <v>344</v>
      </c>
      <c r="G104" s="7" t="s">
        <v>345</v>
      </c>
      <c r="H104" s="7"/>
      <c r="I104" s="7"/>
    </row>
    <row r="105" customFormat="false" ht="15" hidden="false" customHeight="true" outlineLevel="0" collapsed="false">
      <c r="A105" s="7" t="s">
        <v>421</v>
      </c>
      <c r="B105" s="7" t="s">
        <v>328</v>
      </c>
      <c r="C105" s="7" t="s">
        <v>323</v>
      </c>
      <c r="D105" s="7"/>
      <c r="E105" s="7" t="s">
        <v>324</v>
      </c>
      <c r="F105" s="7" t="s">
        <v>344</v>
      </c>
      <c r="G105" s="7" t="s">
        <v>345</v>
      </c>
      <c r="H105" s="7"/>
      <c r="I105" s="7"/>
    </row>
    <row r="106" customFormat="false" ht="15" hidden="false" customHeight="true" outlineLevel="0" collapsed="false">
      <c r="A106" s="7" t="s">
        <v>421</v>
      </c>
      <c r="B106" s="7" t="s">
        <v>195</v>
      </c>
      <c r="C106" s="7" t="s">
        <v>323</v>
      </c>
      <c r="D106" s="7"/>
      <c r="E106" s="7" t="s">
        <v>324</v>
      </c>
      <c r="F106" s="7" t="s">
        <v>325</v>
      </c>
      <c r="G106" s="7" t="s">
        <v>326</v>
      </c>
      <c r="H106" s="7" t="s">
        <v>425</v>
      </c>
      <c r="I106" s="7"/>
    </row>
    <row r="107" customFormat="false" ht="15" hidden="false" customHeight="true" outlineLevel="0" collapsed="false">
      <c r="A107" s="7" t="s">
        <v>421</v>
      </c>
      <c r="B107" s="7" t="s">
        <v>426</v>
      </c>
      <c r="C107" s="7" t="s">
        <v>323</v>
      </c>
      <c r="D107" s="7"/>
      <c r="E107" s="7" t="s">
        <v>324</v>
      </c>
      <c r="F107" s="7" t="s">
        <v>344</v>
      </c>
      <c r="G107" s="7" t="s">
        <v>345</v>
      </c>
      <c r="H107" s="7"/>
      <c r="I107" s="7"/>
    </row>
    <row r="108" customFormat="false" ht="15" hidden="false" customHeight="true" outlineLevel="0" collapsed="false">
      <c r="A108" s="7" t="s">
        <v>421</v>
      </c>
      <c r="B108" s="7" t="s">
        <v>427</v>
      </c>
      <c r="C108" s="7" t="s">
        <v>323</v>
      </c>
      <c r="D108" s="7"/>
      <c r="E108" s="7" t="s">
        <v>324</v>
      </c>
      <c r="F108" s="7" t="s">
        <v>344</v>
      </c>
      <c r="G108" s="7" t="s">
        <v>345</v>
      </c>
      <c r="H108" s="7"/>
      <c r="I108" s="7"/>
    </row>
    <row r="109" customFormat="false" ht="15" hidden="false" customHeight="true" outlineLevel="0" collapsed="false">
      <c r="A109" s="7" t="s">
        <v>421</v>
      </c>
      <c r="B109" s="7" t="s">
        <v>428</v>
      </c>
      <c r="C109" s="7" t="s">
        <v>323</v>
      </c>
      <c r="D109" s="7"/>
      <c r="E109" s="7" t="s">
        <v>324</v>
      </c>
      <c r="F109" s="7" t="s">
        <v>344</v>
      </c>
      <c r="G109" s="7" t="s">
        <v>345</v>
      </c>
      <c r="H109" s="7"/>
      <c r="I109" s="7"/>
    </row>
    <row r="110" customFormat="false" ht="15" hidden="false" customHeight="true" outlineLevel="0" collapsed="false">
      <c r="A110" s="7" t="s">
        <v>421</v>
      </c>
      <c r="B110" s="7" t="s">
        <v>429</v>
      </c>
      <c r="C110" s="7" t="s">
        <v>323</v>
      </c>
      <c r="D110" s="7"/>
      <c r="E110" s="7" t="s">
        <v>324</v>
      </c>
      <c r="F110" s="7" t="s">
        <v>344</v>
      </c>
      <c r="G110" s="7" t="s">
        <v>345</v>
      </c>
      <c r="H110" s="7"/>
      <c r="I110" s="7"/>
    </row>
    <row r="111" customFormat="false" ht="15" hidden="false" customHeight="true" outlineLevel="0" collapsed="false">
      <c r="A111" s="7" t="s">
        <v>421</v>
      </c>
      <c r="B111" s="7" t="s">
        <v>430</v>
      </c>
      <c r="C111" s="7" t="s">
        <v>323</v>
      </c>
      <c r="D111" s="7"/>
      <c r="E111" s="7" t="s">
        <v>324</v>
      </c>
      <c r="F111" s="7" t="s">
        <v>344</v>
      </c>
      <c r="G111" s="7" t="s">
        <v>345</v>
      </c>
      <c r="H111" s="7"/>
      <c r="I111" s="7"/>
    </row>
    <row r="112" customFormat="false" ht="15" hidden="false" customHeight="true" outlineLevel="0" collapsed="false">
      <c r="A112" s="7" t="s">
        <v>421</v>
      </c>
      <c r="B112" s="7" t="s">
        <v>431</v>
      </c>
      <c r="C112" s="7" t="s">
        <v>323</v>
      </c>
      <c r="D112" s="7"/>
      <c r="E112" s="7" t="s">
        <v>324</v>
      </c>
      <c r="F112" s="7" t="s">
        <v>344</v>
      </c>
      <c r="G112" s="7" t="s">
        <v>345</v>
      </c>
      <c r="H112" s="7"/>
      <c r="I112" s="7"/>
    </row>
    <row r="113" customFormat="false" ht="15" hidden="false" customHeight="true" outlineLevel="0" collapsed="false">
      <c r="A113" s="7" t="s">
        <v>421</v>
      </c>
      <c r="B113" s="7" t="s">
        <v>432</v>
      </c>
      <c r="C113" s="7" t="s">
        <v>323</v>
      </c>
      <c r="D113" s="7"/>
      <c r="E113" s="7" t="s">
        <v>324</v>
      </c>
      <c r="F113" s="7" t="s">
        <v>344</v>
      </c>
      <c r="G113" s="7" t="s">
        <v>345</v>
      </c>
      <c r="H113" s="7"/>
      <c r="I113" s="7"/>
    </row>
    <row r="114" customFormat="false" ht="15" hidden="false" customHeight="true" outlineLevel="0" collapsed="false">
      <c r="A114" s="7" t="s">
        <v>421</v>
      </c>
      <c r="B114" s="7" t="s">
        <v>433</v>
      </c>
      <c r="C114" s="7" t="s">
        <v>323</v>
      </c>
      <c r="D114" s="7"/>
      <c r="E114" s="7" t="s">
        <v>324</v>
      </c>
      <c r="F114" s="7" t="s">
        <v>344</v>
      </c>
      <c r="G114" s="7" t="s">
        <v>345</v>
      </c>
      <c r="H114" s="7"/>
      <c r="I114" s="7"/>
    </row>
    <row r="115" customFormat="false" ht="15" hidden="false" customHeight="true" outlineLevel="0" collapsed="false">
      <c r="A115" s="7" t="s">
        <v>421</v>
      </c>
      <c r="B115" s="7" t="s">
        <v>96</v>
      </c>
      <c r="C115" s="7" t="s">
        <v>323</v>
      </c>
      <c r="D115" s="7"/>
      <c r="E115" s="7" t="s">
        <v>329</v>
      </c>
      <c r="F115" s="7" t="s">
        <v>344</v>
      </c>
      <c r="G115" s="7" t="s">
        <v>345</v>
      </c>
      <c r="H115" s="7"/>
      <c r="I115" s="7"/>
    </row>
    <row r="116" customFormat="false" ht="15" hidden="false" customHeight="true" outlineLevel="0" collapsed="false">
      <c r="A116" s="7" t="s">
        <v>421</v>
      </c>
      <c r="B116" s="7" t="s">
        <v>434</v>
      </c>
      <c r="C116" s="7" t="s">
        <v>323</v>
      </c>
      <c r="D116" s="7"/>
      <c r="E116" s="7" t="s">
        <v>329</v>
      </c>
      <c r="F116" s="7" t="s">
        <v>344</v>
      </c>
      <c r="G116" s="7" t="s">
        <v>345</v>
      </c>
      <c r="H116" s="7"/>
      <c r="I116" s="7"/>
    </row>
    <row r="117" customFormat="false" ht="15" hidden="false" customHeight="true" outlineLevel="0" collapsed="false">
      <c r="A117" s="7" t="s">
        <v>421</v>
      </c>
      <c r="B117" s="7" t="s">
        <v>435</v>
      </c>
      <c r="C117" s="7" t="s">
        <v>323</v>
      </c>
      <c r="D117" s="7"/>
      <c r="E117" s="7" t="s">
        <v>329</v>
      </c>
      <c r="F117" s="7" t="s">
        <v>344</v>
      </c>
      <c r="G117" s="7" t="s">
        <v>345</v>
      </c>
      <c r="H117" s="7"/>
      <c r="I117" s="7"/>
    </row>
    <row r="118" customFormat="false" ht="15" hidden="false" customHeight="true" outlineLevel="0" collapsed="false">
      <c r="A118" s="13" t="s">
        <v>421</v>
      </c>
      <c r="B118" s="13" t="s">
        <v>436</v>
      </c>
      <c r="C118" s="13" t="s">
        <v>332</v>
      </c>
      <c r="D118" s="13" t="s">
        <v>347</v>
      </c>
      <c r="E118" s="13" t="s">
        <v>329</v>
      </c>
      <c r="F118" s="13" t="s">
        <v>344</v>
      </c>
      <c r="G118" s="13" t="s">
        <v>345</v>
      </c>
      <c r="H118" s="13"/>
      <c r="I118" s="13"/>
      <c r="J118" s="14"/>
    </row>
    <row r="119" customFormat="false" ht="15" hidden="false" customHeight="true" outlineLevel="0" collapsed="false">
      <c r="A119" s="7" t="s">
        <v>421</v>
      </c>
      <c r="B119" s="7" t="s">
        <v>437</v>
      </c>
      <c r="C119" s="7" t="s">
        <v>323</v>
      </c>
      <c r="D119" s="7"/>
      <c r="E119" s="7" t="s">
        <v>329</v>
      </c>
      <c r="F119" s="7" t="s">
        <v>344</v>
      </c>
      <c r="G119" s="7" t="s">
        <v>345</v>
      </c>
      <c r="H119" s="7"/>
      <c r="I119" s="7"/>
    </row>
    <row r="120" customFormat="false" ht="15" hidden="false" customHeight="true" outlineLevel="0" collapsed="false">
      <c r="A120" s="7" t="s">
        <v>421</v>
      </c>
      <c r="B120" s="7" t="s">
        <v>190</v>
      </c>
      <c r="C120" s="7" t="s">
        <v>323</v>
      </c>
      <c r="D120" s="7"/>
      <c r="E120" s="7" t="s">
        <v>329</v>
      </c>
      <c r="F120" s="7" t="s">
        <v>344</v>
      </c>
      <c r="G120" s="7" t="s">
        <v>345</v>
      </c>
      <c r="H120" s="7"/>
      <c r="I120" s="7"/>
    </row>
    <row r="121" customFormat="false" ht="15" hidden="false" customHeight="true" outlineLevel="0" collapsed="false">
      <c r="A121" s="7" t="s">
        <v>421</v>
      </c>
      <c r="B121" s="7" t="s">
        <v>438</v>
      </c>
      <c r="C121" s="7" t="s">
        <v>323</v>
      </c>
      <c r="D121" s="7"/>
      <c r="E121" s="7" t="s">
        <v>329</v>
      </c>
      <c r="F121" s="7" t="s">
        <v>344</v>
      </c>
      <c r="G121" s="7" t="s">
        <v>345</v>
      </c>
      <c r="H121" s="7"/>
      <c r="I121" s="7"/>
    </row>
    <row r="122" customFormat="false" ht="15" hidden="false" customHeight="true" outlineLevel="0" collapsed="false">
      <c r="A122" s="7" t="s">
        <v>421</v>
      </c>
      <c r="B122" s="7" t="s">
        <v>439</v>
      </c>
      <c r="C122" s="7" t="s">
        <v>323</v>
      </c>
      <c r="D122" s="7"/>
      <c r="E122" s="7" t="s">
        <v>329</v>
      </c>
      <c r="F122" s="7" t="s">
        <v>344</v>
      </c>
      <c r="G122" s="7" t="s">
        <v>345</v>
      </c>
      <c r="H122" s="7"/>
      <c r="I122" s="7"/>
    </row>
    <row r="123" customFormat="false" ht="15" hidden="false" customHeight="true" outlineLevel="0" collapsed="false">
      <c r="A123" s="7" t="s">
        <v>421</v>
      </c>
      <c r="B123" s="7" t="s">
        <v>440</v>
      </c>
      <c r="C123" s="7" t="s">
        <v>323</v>
      </c>
      <c r="D123" s="7"/>
      <c r="E123" s="7" t="s">
        <v>329</v>
      </c>
      <c r="F123" s="7" t="s">
        <v>344</v>
      </c>
      <c r="G123" s="7" t="s">
        <v>345</v>
      </c>
      <c r="H123" s="7"/>
      <c r="I123" s="7"/>
    </row>
    <row r="124" customFormat="false" ht="15" hidden="false" customHeight="true" outlineLevel="0" collapsed="false">
      <c r="A124" s="7" t="s">
        <v>421</v>
      </c>
      <c r="B124" s="7" t="s">
        <v>441</v>
      </c>
      <c r="C124" s="7" t="s">
        <v>323</v>
      </c>
      <c r="D124" s="7"/>
      <c r="E124" s="7" t="s">
        <v>329</v>
      </c>
      <c r="F124" s="7" t="s">
        <v>344</v>
      </c>
      <c r="G124" s="7" t="s">
        <v>345</v>
      </c>
      <c r="H124" s="7"/>
      <c r="I124" s="7"/>
    </row>
    <row r="125" customFormat="false" ht="15" hidden="false" customHeight="true" outlineLevel="0" collapsed="false">
      <c r="A125" s="7" t="s">
        <v>421</v>
      </c>
      <c r="B125" s="7" t="s">
        <v>442</v>
      </c>
      <c r="C125" s="7" t="s">
        <v>323</v>
      </c>
      <c r="D125" s="7"/>
      <c r="E125" s="7" t="s">
        <v>329</v>
      </c>
      <c r="F125" s="7" t="s">
        <v>344</v>
      </c>
      <c r="G125" s="7" t="s">
        <v>345</v>
      </c>
      <c r="H125" s="7"/>
      <c r="I125" s="7"/>
    </row>
    <row r="126" customFormat="false" ht="15" hidden="false" customHeight="true" outlineLevel="0" collapsed="false">
      <c r="A126" s="7" t="s">
        <v>421</v>
      </c>
      <c r="B126" s="7" t="s">
        <v>443</v>
      </c>
      <c r="C126" s="7" t="s">
        <v>323</v>
      </c>
      <c r="D126" s="7"/>
      <c r="E126" s="7" t="s">
        <v>329</v>
      </c>
      <c r="F126" s="7" t="s">
        <v>344</v>
      </c>
      <c r="G126" s="7" t="s">
        <v>345</v>
      </c>
      <c r="H126" s="7"/>
      <c r="I126" s="7"/>
    </row>
    <row r="127" customFormat="false" ht="15" hidden="false" customHeight="true" outlineLevel="0" collapsed="false">
      <c r="A127" s="7" t="s">
        <v>421</v>
      </c>
      <c r="B127" s="7" t="s">
        <v>444</v>
      </c>
      <c r="C127" s="7" t="s">
        <v>323</v>
      </c>
      <c r="D127" s="7"/>
      <c r="E127" s="7" t="s">
        <v>329</v>
      </c>
      <c r="F127" s="7" t="s">
        <v>330</v>
      </c>
      <c r="G127" s="7" t="s">
        <v>331</v>
      </c>
      <c r="H127" s="7"/>
      <c r="I127" s="7"/>
    </row>
    <row r="128" customFormat="false" ht="15" hidden="false" customHeight="true" outlineLevel="0" collapsed="false">
      <c r="A128" s="7" t="s">
        <v>421</v>
      </c>
      <c r="B128" s="7" t="s">
        <v>343</v>
      </c>
      <c r="C128" s="7" t="s">
        <v>323</v>
      </c>
      <c r="D128" s="7"/>
      <c r="E128" s="7" t="s">
        <v>329</v>
      </c>
      <c r="F128" s="7" t="s">
        <v>344</v>
      </c>
      <c r="G128" s="7" t="s">
        <v>345</v>
      </c>
      <c r="H128" s="7"/>
      <c r="I128" s="7"/>
    </row>
    <row r="129" customFormat="false" ht="15" hidden="false" customHeight="true" outlineLevel="0" collapsed="false">
      <c r="A129" s="7" t="s">
        <v>421</v>
      </c>
      <c r="B129" s="7" t="s">
        <v>386</v>
      </c>
      <c r="C129" s="7" t="s">
        <v>323</v>
      </c>
      <c r="D129" s="7"/>
      <c r="E129" s="7" t="s">
        <v>329</v>
      </c>
      <c r="F129" s="7" t="s">
        <v>344</v>
      </c>
      <c r="G129" s="7" t="s">
        <v>345</v>
      </c>
      <c r="H129" s="7"/>
      <c r="I129" s="7"/>
    </row>
    <row r="130" customFormat="false" ht="15" hidden="false" customHeight="true" outlineLevel="0" collapsed="false">
      <c r="A130" s="7" t="s">
        <v>421</v>
      </c>
      <c r="B130" s="7" t="s">
        <v>105</v>
      </c>
      <c r="C130" s="7" t="s">
        <v>323</v>
      </c>
      <c r="D130" s="7"/>
      <c r="E130" s="7" t="s">
        <v>329</v>
      </c>
      <c r="F130" s="7" t="s">
        <v>344</v>
      </c>
      <c r="G130" s="7" t="s">
        <v>345</v>
      </c>
      <c r="H130" s="7"/>
      <c r="I130" s="7"/>
    </row>
    <row r="131" customFormat="false" ht="15" hidden="false" customHeight="true" outlineLevel="0" collapsed="false">
      <c r="A131" s="13" t="s">
        <v>421</v>
      </c>
      <c r="B131" s="13" t="s">
        <v>445</v>
      </c>
      <c r="C131" s="13" t="s">
        <v>332</v>
      </c>
      <c r="D131" s="13" t="s">
        <v>347</v>
      </c>
      <c r="E131" s="13" t="s">
        <v>329</v>
      </c>
      <c r="F131" s="13" t="s">
        <v>344</v>
      </c>
      <c r="G131" s="13" t="s">
        <v>345</v>
      </c>
      <c r="H131" s="13"/>
      <c r="I131" s="13"/>
      <c r="J131" s="14"/>
    </row>
    <row r="132" customFormat="false" ht="15" hidden="false" customHeight="true" outlineLevel="0" collapsed="false">
      <c r="A132" s="13" t="s">
        <v>421</v>
      </c>
      <c r="B132" s="13" t="s">
        <v>143</v>
      </c>
      <c r="C132" s="13" t="s">
        <v>332</v>
      </c>
      <c r="D132" s="13" t="s">
        <v>347</v>
      </c>
      <c r="E132" s="13" t="s">
        <v>329</v>
      </c>
      <c r="F132" s="13" t="s">
        <v>344</v>
      </c>
      <c r="G132" s="13" t="s">
        <v>345</v>
      </c>
      <c r="H132" s="13"/>
      <c r="I132" s="13"/>
      <c r="J132" s="14"/>
    </row>
    <row r="133" customFormat="false" ht="15" hidden="false" customHeight="true" outlineLevel="0" collapsed="false">
      <c r="A133" s="7" t="s">
        <v>421</v>
      </c>
      <c r="B133" s="7" t="s">
        <v>446</v>
      </c>
      <c r="C133" s="7" t="s">
        <v>323</v>
      </c>
      <c r="D133" s="7"/>
      <c r="E133" s="7" t="s">
        <v>329</v>
      </c>
      <c r="F133" s="7" t="s">
        <v>344</v>
      </c>
      <c r="G133" s="7" t="s">
        <v>345</v>
      </c>
      <c r="H133" s="7"/>
      <c r="I133" s="7"/>
    </row>
    <row r="134" customFormat="false" ht="15" hidden="false" customHeight="true" outlineLevel="0" collapsed="false">
      <c r="A134" s="7" t="s">
        <v>421</v>
      </c>
      <c r="B134" s="7" t="s">
        <v>388</v>
      </c>
      <c r="C134" s="7" t="s">
        <v>323</v>
      </c>
      <c r="D134" s="7"/>
      <c r="E134" s="7" t="s">
        <v>329</v>
      </c>
      <c r="F134" s="7" t="s">
        <v>344</v>
      </c>
      <c r="G134" s="7" t="s">
        <v>345</v>
      </c>
      <c r="H134" s="7"/>
      <c r="I134" s="7"/>
    </row>
    <row r="135" customFormat="false" ht="15" hidden="false" customHeight="true" outlineLevel="0" collapsed="false">
      <c r="A135" s="7" t="s">
        <v>421</v>
      </c>
      <c r="B135" s="7" t="s">
        <v>346</v>
      </c>
      <c r="C135" s="7" t="s">
        <v>323</v>
      </c>
      <c r="D135" s="7"/>
      <c r="E135" s="7" t="s">
        <v>329</v>
      </c>
      <c r="F135" s="7" t="s">
        <v>344</v>
      </c>
      <c r="G135" s="7" t="s">
        <v>345</v>
      </c>
      <c r="H135" s="7"/>
      <c r="I135" s="7"/>
    </row>
    <row r="136" customFormat="false" ht="15" hidden="false" customHeight="true" outlineLevel="0" collapsed="false">
      <c r="A136" s="7" t="s">
        <v>421</v>
      </c>
      <c r="B136" s="7" t="s">
        <v>390</v>
      </c>
      <c r="C136" s="7" t="s">
        <v>323</v>
      </c>
      <c r="D136" s="7"/>
      <c r="E136" s="7" t="s">
        <v>329</v>
      </c>
      <c r="F136" s="7" t="s">
        <v>344</v>
      </c>
      <c r="G136" s="7" t="s">
        <v>345</v>
      </c>
      <c r="H136" s="7"/>
      <c r="I136" s="7"/>
    </row>
    <row r="137" customFormat="false" ht="15" hidden="false" customHeight="true" outlineLevel="0" collapsed="false">
      <c r="A137" s="7" t="s">
        <v>421</v>
      </c>
      <c r="B137" s="7" t="s">
        <v>391</v>
      </c>
      <c r="C137" s="7" t="s">
        <v>323</v>
      </c>
      <c r="D137" s="7"/>
      <c r="E137" s="7" t="s">
        <v>329</v>
      </c>
      <c r="F137" s="7" t="s">
        <v>344</v>
      </c>
      <c r="G137" s="7" t="s">
        <v>345</v>
      </c>
      <c r="H137" s="7"/>
      <c r="I137" s="7"/>
    </row>
    <row r="138" customFormat="false" ht="15" hidden="false" customHeight="true" outlineLevel="0" collapsed="false">
      <c r="A138" s="7" t="s">
        <v>421</v>
      </c>
      <c r="B138" s="7" t="s">
        <v>447</v>
      </c>
      <c r="C138" s="7" t="s">
        <v>323</v>
      </c>
      <c r="D138" s="7"/>
      <c r="E138" s="7" t="s">
        <v>329</v>
      </c>
      <c r="F138" s="7" t="s">
        <v>344</v>
      </c>
      <c r="G138" s="7" t="s">
        <v>345</v>
      </c>
      <c r="H138" s="7"/>
      <c r="I138" s="7"/>
    </row>
    <row r="139" customFormat="false" ht="15" hidden="false" customHeight="true" outlineLevel="0" collapsed="false">
      <c r="A139" s="7" t="s">
        <v>421</v>
      </c>
      <c r="B139" s="7" t="s">
        <v>360</v>
      </c>
      <c r="C139" s="7" t="s">
        <v>323</v>
      </c>
      <c r="D139" s="7"/>
      <c r="E139" s="7" t="s">
        <v>329</v>
      </c>
      <c r="F139" s="7" t="s">
        <v>344</v>
      </c>
      <c r="G139" s="7" t="s">
        <v>345</v>
      </c>
      <c r="H139" s="7"/>
      <c r="I139" s="7"/>
    </row>
    <row r="140" customFormat="false" ht="15" hidden="false" customHeight="true" outlineLevel="0" collapsed="false">
      <c r="A140" s="7" t="s">
        <v>421</v>
      </c>
      <c r="B140" s="7" t="s">
        <v>448</v>
      </c>
      <c r="C140" s="7" t="s">
        <v>323</v>
      </c>
      <c r="D140" s="7"/>
      <c r="E140" s="7" t="s">
        <v>329</v>
      </c>
      <c r="F140" s="7" t="s">
        <v>344</v>
      </c>
      <c r="G140" s="7" t="s">
        <v>345</v>
      </c>
      <c r="H140" s="7"/>
      <c r="I140" s="7"/>
    </row>
    <row r="141" customFormat="false" ht="15" hidden="false" customHeight="true" outlineLevel="0" collapsed="false">
      <c r="A141" s="7" t="s">
        <v>421</v>
      </c>
      <c r="B141" s="7" t="s">
        <v>400</v>
      </c>
      <c r="C141" s="7" t="s">
        <v>323</v>
      </c>
      <c r="D141" s="7"/>
      <c r="E141" s="7" t="s">
        <v>329</v>
      </c>
      <c r="F141" s="7" t="s">
        <v>344</v>
      </c>
      <c r="G141" s="7" t="s">
        <v>345</v>
      </c>
      <c r="H141" s="7"/>
      <c r="I141" s="7"/>
    </row>
    <row r="142" customFormat="false" ht="15" hidden="false" customHeight="true" outlineLevel="0" collapsed="false">
      <c r="A142" s="7" t="s">
        <v>421</v>
      </c>
      <c r="B142" s="7" t="s">
        <v>449</v>
      </c>
      <c r="C142" s="7" t="s">
        <v>323</v>
      </c>
      <c r="D142" s="7"/>
      <c r="E142" s="7" t="s">
        <v>329</v>
      </c>
      <c r="F142" s="7" t="s">
        <v>344</v>
      </c>
      <c r="G142" s="7" t="s">
        <v>345</v>
      </c>
      <c r="H142" s="7"/>
      <c r="I142" s="7"/>
    </row>
    <row r="143" customFormat="false" ht="15" hidden="false" customHeight="true" outlineLevel="0" collapsed="false">
      <c r="A143" s="7" t="s">
        <v>421</v>
      </c>
      <c r="B143" s="7" t="s">
        <v>414</v>
      </c>
      <c r="C143" s="7" t="s">
        <v>323</v>
      </c>
      <c r="D143" s="7"/>
      <c r="E143" s="7" t="s">
        <v>329</v>
      </c>
      <c r="F143" s="7" t="s">
        <v>344</v>
      </c>
      <c r="G143" s="7" t="s">
        <v>345</v>
      </c>
      <c r="H143" s="7"/>
      <c r="I143" s="7"/>
    </row>
    <row r="144" customFormat="false" ht="15" hidden="false" customHeight="true" outlineLevel="0" collapsed="false">
      <c r="A144" s="7" t="s">
        <v>421</v>
      </c>
      <c r="B144" s="7" t="s">
        <v>450</v>
      </c>
      <c r="C144" s="7" t="s">
        <v>323</v>
      </c>
      <c r="D144" s="7"/>
      <c r="E144" s="7" t="s">
        <v>329</v>
      </c>
      <c r="F144" s="7" t="s">
        <v>344</v>
      </c>
      <c r="G144" s="7" t="s">
        <v>345</v>
      </c>
      <c r="H144" s="7"/>
      <c r="I144" s="7"/>
    </row>
    <row r="145" customFormat="false" ht="15" hidden="false" customHeight="true" outlineLevel="0" collapsed="false">
      <c r="A145" s="7" t="s">
        <v>421</v>
      </c>
      <c r="B145" s="7" t="s">
        <v>366</v>
      </c>
      <c r="C145" s="7" t="s">
        <v>323</v>
      </c>
      <c r="D145" s="7"/>
      <c r="E145" s="7" t="s">
        <v>329</v>
      </c>
      <c r="F145" s="7" t="s">
        <v>344</v>
      </c>
      <c r="G145" s="7" t="s">
        <v>345</v>
      </c>
      <c r="H145" s="7"/>
      <c r="I145" s="7"/>
    </row>
    <row r="146" customFormat="false" ht="15" hidden="false" customHeight="true" outlineLevel="0" collapsed="false">
      <c r="A146" s="13" t="s">
        <v>421</v>
      </c>
      <c r="B146" s="13" t="s">
        <v>367</v>
      </c>
      <c r="C146" s="13" t="s">
        <v>332</v>
      </c>
      <c r="D146" s="13" t="s">
        <v>347</v>
      </c>
      <c r="E146" s="13" t="s">
        <v>329</v>
      </c>
      <c r="F146" s="13" t="s">
        <v>344</v>
      </c>
      <c r="G146" s="13" t="s">
        <v>345</v>
      </c>
      <c r="H146" s="13"/>
      <c r="I146" s="13"/>
      <c r="J146" s="14"/>
    </row>
    <row r="147" customFormat="false" ht="15" hidden="false" customHeight="true" outlineLevel="0" collapsed="false">
      <c r="A147" s="13" t="s">
        <v>421</v>
      </c>
      <c r="B147" s="13" t="s">
        <v>368</v>
      </c>
      <c r="C147" s="13" t="s">
        <v>332</v>
      </c>
      <c r="D147" s="13" t="s">
        <v>347</v>
      </c>
      <c r="E147" s="13" t="s">
        <v>329</v>
      </c>
      <c r="F147" s="13" t="s">
        <v>344</v>
      </c>
      <c r="G147" s="13" t="s">
        <v>345</v>
      </c>
      <c r="H147" s="13"/>
      <c r="I147" s="13"/>
      <c r="J147" s="14"/>
    </row>
    <row r="148" customFormat="false" ht="15" hidden="false" customHeight="true" outlineLevel="0" collapsed="false">
      <c r="A148" s="7" t="s">
        <v>421</v>
      </c>
      <c r="B148" s="7" t="s">
        <v>155</v>
      </c>
      <c r="C148" s="7" t="s">
        <v>323</v>
      </c>
      <c r="D148" s="7"/>
      <c r="E148" s="7" t="s">
        <v>329</v>
      </c>
      <c r="F148" s="7" t="s">
        <v>344</v>
      </c>
      <c r="G148" s="7" t="s">
        <v>345</v>
      </c>
      <c r="H148" s="7"/>
      <c r="I148" s="7"/>
    </row>
    <row r="149" customFormat="false" ht="15" hidden="false" customHeight="true" outlineLevel="0" collapsed="false">
      <c r="A149" s="7" t="s">
        <v>421</v>
      </c>
      <c r="B149" s="7" t="s">
        <v>451</v>
      </c>
      <c r="C149" s="7" t="s">
        <v>323</v>
      </c>
      <c r="D149" s="7"/>
      <c r="E149" s="7" t="s">
        <v>329</v>
      </c>
      <c r="F149" s="7" t="s">
        <v>344</v>
      </c>
      <c r="G149" s="7" t="s">
        <v>345</v>
      </c>
      <c r="H149" s="7"/>
      <c r="I149" s="7"/>
    </row>
    <row r="150" customFormat="false" ht="15" hidden="false" customHeight="true" outlineLevel="0" collapsed="false">
      <c r="A150" s="7" t="s">
        <v>421</v>
      </c>
      <c r="B150" s="7" t="s">
        <v>452</v>
      </c>
      <c r="C150" s="7" t="s">
        <v>323</v>
      </c>
      <c r="D150" s="7"/>
      <c r="E150" s="7" t="s">
        <v>329</v>
      </c>
      <c r="F150" s="7" t="s">
        <v>344</v>
      </c>
      <c r="G150" s="7" t="s">
        <v>345</v>
      </c>
      <c r="H150" s="7"/>
      <c r="I150" s="7"/>
    </row>
    <row r="151" customFormat="false" ht="15" hidden="false" customHeight="true" outlineLevel="0" collapsed="false">
      <c r="A151" s="13" t="s">
        <v>421</v>
      </c>
      <c r="B151" s="13" t="s">
        <v>453</v>
      </c>
      <c r="C151" s="13" t="s">
        <v>332</v>
      </c>
      <c r="D151" s="13" t="s">
        <v>347</v>
      </c>
      <c r="E151" s="13" t="s">
        <v>329</v>
      </c>
      <c r="F151" s="13" t="s">
        <v>344</v>
      </c>
      <c r="G151" s="13" t="s">
        <v>345</v>
      </c>
      <c r="H151" s="13"/>
      <c r="I151" s="13"/>
      <c r="J151" s="14"/>
    </row>
    <row r="152" customFormat="false" ht="15" hidden="false" customHeight="true" outlineLevel="0" collapsed="false">
      <c r="A152" s="7" t="s">
        <v>421</v>
      </c>
      <c r="B152" s="7" t="s">
        <v>454</v>
      </c>
      <c r="C152" s="7" t="s">
        <v>323</v>
      </c>
      <c r="D152" s="7"/>
      <c r="E152" s="7" t="s">
        <v>329</v>
      </c>
      <c r="F152" s="7" t="s">
        <v>344</v>
      </c>
      <c r="G152" s="7" t="s">
        <v>345</v>
      </c>
      <c r="H152" s="7"/>
      <c r="I152" s="7"/>
    </row>
    <row r="153" customFormat="false" ht="15" hidden="false" customHeight="true" outlineLevel="0" collapsed="false">
      <c r="A153" s="7" t="s">
        <v>421</v>
      </c>
      <c r="B153" s="7" t="s">
        <v>157</v>
      </c>
      <c r="C153" s="7" t="s">
        <v>323</v>
      </c>
      <c r="D153" s="7"/>
      <c r="E153" s="7" t="s">
        <v>329</v>
      </c>
      <c r="F153" s="7" t="s">
        <v>344</v>
      </c>
      <c r="G153" s="7" t="s">
        <v>345</v>
      </c>
      <c r="H153" s="7"/>
      <c r="I153" s="7"/>
    </row>
    <row r="154" customFormat="false" ht="15" hidden="false" customHeight="true" outlineLevel="0" collapsed="false">
      <c r="A154" s="7" t="s">
        <v>421</v>
      </c>
      <c r="B154" s="7" t="s">
        <v>369</v>
      </c>
      <c r="C154" s="7" t="s">
        <v>323</v>
      </c>
      <c r="D154" s="7"/>
      <c r="E154" s="7" t="s">
        <v>329</v>
      </c>
      <c r="F154" s="7" t="s">
        <v>344</v>
      </c>
      <c r="G154" s="7" t="s">
        <v>345</v>
      </c>
      <c r="H154" s="7"/>
      <c r="I154" s="7"/>
    </row>
    <row r="155" customFormat="false" ht="15" hidden="false" customHeight="true" outlineLevel="0" collapsed="false">
      <c r="A155" s="7" t="s">
        <v>421</v>
      </c>
      <c r="B155" s="7" t="s">
        <v>415</v>
      </c>
      <c r="C155" s="7" t="s">
        <v>323</v>
      </c>
      <c r="D155" s="7"/>
      <c r="E155" s="7" t="s">
        <v>329</v>
      </c>
      <c r="F155" s="7" t="s">
        <v>344</v>
      </c>
      <c r="G155" s="7" t="s">
        <v>345</v>
      </c>
      <c r="H155" s="7"/>
      <c r="I155" s="7"/>
    </row>
    <row r="156" customFormat="false" ht="15" hidden="false" customHeight="true" outlineLevel="0" collapsed="false">
      <c r="A156" s="7" t="s">
        <v>421</v>
      </c>
      <c r="B156" s="7" t="s">
        <v>370</v>
      </c>
      <c r="C156" s="7" t="s">
        <v>323</v>
      </c>
      <c r="D156" s="7"/>
      <c r="E156" s="7" t="s">
        <v>329</v>
      </c>
      <c r="F156" s="7" t="s">
        <v>344</v>
      </c>
      <c r="G156" s="7" t="s">
        <v>345</v>
      </c>
      <c r="H156" s="7"/>
      <c r="I156" s="7"/>
    </row>
    <row r="157" customFormat="false" ht="15" hidden="false" customHeight="true" outlineLevel="0" collapsed="false">
      <c r="A157" s="7" t="s">
        <v>421</v>
      </c>
      <c r="B157" s="7" t="s">
        <v>416</v>
      </c>
      <c r="C157" s="7" t="s">
        <v>323</v>
      </c>
      <c r="D157" s="7"/>
      <c r="E157" s="7" t="s">
        <v>329</v>
      </c>
      <c r="F157" s="7" t="s">
        <v>344</v>
      </c>
      <c r="G157" s="7" t="s">
        <v>345</v>
      </c>
      <c r="H157" s="7"/>
      <c r="I157" s="7"/>
    </row>
    <row r="158" customFormat="false" ht="15" hidden="false" customHeight="true" outlineLevel="0" collapsed="false">
      <c r="A158" s="7" t="s">
        <v>421</v>
      </c>
      <c r="B158" s="7" t="s">
        <v>455</v>
      </c>
      <c r="C158" s="7" t="s">
        <v>323</v>
      </c>
      <c r="D158" s="7"/>
      <c r="E158" s="7" t="s">
        <v>329</v>
      </c>
      <c r="F158" s="7" t="s">
        <v>344</v>
      </c>
      <c r="G158" s="7" t="s">
        <v>345</v>
      </c>
      <c r="H158" s="7"/>
      <c r="I158" s="7"/>
    </row>
    <row r="159" customFormat="false" ht="15" hidden="false" customHeight="true" outlineLevel="0" collapsed="false">
      <c r="A159" s="7" t="s">
        <v>421</v>
      </c>
      <c r="B159" s="7" t="s">
        <v>127</v>
      </c>
      <c r="C159" s="7" t="s">
        <v>323</v>
      </c>
      <c r="D159" s="7"/>
      <c r="E159" s="7" t="s">
        <v>329</v>
      </c>
      <c r="F159" s="7" t="s">
        <v>344</v>
      </c>
      <c r="G159" s="7" t="s">
        <v>345</v>
      </c>
      <c r="H159" s="7"/>
      <c r="I159" s="7"/>
    </row>
    <row r="160" customFormat="false" ht="15" hidden="false" customHeight="true" outlineLevel="0" collapsed="false">
      <c r="A160" s="13" t="s">
        <v>421</v>
      </c>
      <c r="B160" s="13" t="s">
        <v>417</v>
      </c>
      <c r="C160" s="13" t="s">
        <v>332</v>
      </c>
      <c r="D160" s="13" t="s">
        <v>347</v>
      </c>
      <c r="E160" s="13" t="s">
        <v>329</v>
      </c>
      <c r="F160" s="13" t="s">
        <v>344</v>
      </c>
      <c r="G160" s="13" t="s">
        <v>345</v>
      </c>
      <c r="H160" s="13"/>
      <c r="I160" s="13"/>
      <c r="J160" s="14"/>
    </row>
    <row r="161" customFormat="false" ht="15" hidden="false" customHeight="true" outlineLevel="0" collapsed="false">
      <c r="A161" s="7" t="s">
        <v>421</v>
      </c>
      <c r="B161" s="7" t="s">
        <v>371</v>
      </c>
      <c r="C161" s="7" t="s">
        <v>323</v>
      </c>
      <c r="D161" s="7"/>
      <c r="E161" s="7" t="s">
        <v>329</v>
      </c>
      <c r="F161" s="7" t="s">
        <v>344</v>
      </c>
      <c r="G161" s="7" t="s">
        <v>345</v>
      </c>
      <c r="H161" s="7"/>
      <c r="I161" s="7"/>
    </row>
    <row r="162" customFormat="false" ht="15" hidden="false" customHeight="true" outlineLevel="0" collapsed="false">
      <c r="A162" s="7" t="s">
        <v>421</v>
      </c>
      <c r="B162" s="7" t="s">
        <v>159</v>
      </c>
      <c r="C162" s="7" t="s">
        <v>323</v>
      </c>
      <c r="D162" s="7"/>
      <c r="E162" s="7" t="s">
        <v>329</v>
      </c>
      <c r="F162" s="7" t="s">
        <v>344</v>
      </c>
      <c r="G162" s="7" t="s">
        <v>345</v>
      </c>
      <c r="H162" s="7"/>
      <c r="I162" s="7"/>
    </row>
    <row r="163" customFormat="false" ht="15" hidden="false" customHeight="true" outlineLevel="0" collapsed="false">
      <c r="A163" s="7" t="s">
        <v>421</v>
      </c>
      <c r="B163" s="7" t="s">
        <v>456</v>
      </c>
      <c r="C163" s="7" t="s">
        <v>323</v>
      </c>
      <c r="D163" s="7"/>
      <c r="E163" s="7" t="s">
        <v>329</v>
      </c>
      <c r="F163" s="7" t="s">
        <v>344</v>
      </c>
      <c r="G163" s="7" t="s">
        <v>345</v>
      </c>
      <c r="H163" s="7"/>
      <c r="I163" s="7"/>
    </row>
    <row r="164" customFormat="false" ht="15" hidden="false" customHeight="true" outlineLevel="0" collapsed="false">
      <c r="A164" s="7" t="s">
        <v>421</v>
      </c>
      <c r="B164" s="7" t="s">
        <v>457</v>
      </c>
      <c r="C164" s="7" t="s">
        <v>323</v>
      </c>
      <c r="D164" s="7"/>
      <c r="E164" s="7" t="s">
        <v>329</v>
      </c>
      <c r="F164" s="7" t="s">
        <v>344</v>
      </c>
      <c r="G164" s="7" t="s">
        <v>345</v>
      </c>
      <c r="H164" s="7"/>
      <c r="I164" s="7"/>
    </row>
    <row r="165" customFormat="false" ht="15" hidden="false" customHeight="true" outlineLevel="0" collapsed="false">
      <c r="A165" s="7" t="s">
        <v>421</v>
      </c>
      <c r="B165" s="7" t="s">
        <v>129</v>
      </c>
      <c r="C165" s="7" t="s">
        <v>323</v>
      </c>
      <c r="D165" s="7"/>
      <c r="E165" s="7" t="s">
        <v>329</v>
      </c>
      <c r="F165" s="7" t="s">
        <v>344</v>
      </c>
      <c r="G165" s="7" t="s">
        <v>345</v>
      </c>
      <c r="H165" s="7"/>
      <c r="I165" s="7"/>
    </row>
    <row r="166" customFormat="false" ht="15" hidden="false" customHeight="true" outlineLevel="0" collapsed="false">
      <c r="A166" s="7" t="s">
        <v>421</v>
      </c>
      <c r="B166" s="7" t="s">
        <v>458</v>
      </c>
      <c r="C166" s="7" t="s">
        <v>323</v>
      </c>
      <c r="D166" s="7"/>
      <c r="E166" s="7" t="s">
        <v>329</v>
      </c>
      <c r="F166" s="7" t="s">
        <v>344</v>
      </c>
      <c r="G166" s="7" t="s">
        <v>345</v>
      </c>
      <c r="H166" s="7"/>
      <c r="I166" s="7"/>
    </row>
    <row r="167" customFormat="false" ht="15" hidden="false" customHeight="true" outlineLevel="0" collapsed="false">
      <c r="A167" s="7" t="s">
        <v>421</v>
      </c>
      <c r="B167" s="7" t="s">
        <v>131</v>
      </c>
      <c r="C167" s="7" t="s">
        <v>323</v>
      </c>
      <c r="D167" s="7"/>
      <c r="E167" s="7" t="s">
        <v>329</v>
      </c>
      <c r="F167" s="7" t="s">
        <v>344</v>
      </c>
      <c r="G167" s="7" t="s">
        <v>345</v>
      </c>
      <c r="H167" s="7"/>
      <c r="I167" s="7"/>
    </row>
    <row r="168" customFormat="false" ht="15" hidden="false" customHeight="true" outlineLevel="0" collapsed="false">
      <c r="A168" s="7" t="s">
        <v>421</v>
      </c>
      <c r="B168" s="7" t="s">
        <v>459</v>
      </c>
      <c r="C168" s="7" t="s">
        <v>323</v>
      </c>
      <c r="D168" s="7"/>
      <c r="E168" s="7" t="s">
        <v>329</v>
      </c>
      <c r="F168" s="7" t="s">
        <v>344</v>
      </c>
      <c r="G168" s="7" t="s">
        <v>345</v>
      </c>
      <c r="H168" s="7"/>
      <c r="I168" s="7"/>
    </row>
    <row r="169" customFormat="false" ht="15" hidden="false" customHeight="true" outlineLevel="0" collapsed="false">
      <c r="A169" s="7" t="s">
        <v>421</v>
      </c>
      <c r="B169" s="7" t="s">
        <v>460</v>
      </c>
      <c r="C169" s="7" t="s">
        <v>323</v>
      </c>
      <c r="D169" s="7"/>
      <c r="E169" s="7" t="s">
        <v>329</v>
      </c>
      <c r="F169" s="7" t="s">
        <v>344</v>
      </c>
      <c r="G169" s="7" t="s">
        <v>345</v>
      </c>
      <c r="H169" s="7"/>
      <c r="I169" s="7"/>
    </row>
    <row r="170" customFormat="false" ht="15" hidden="false" customHeight="true" outlineLevel="0" collapsed="false">
      <c r="A170" s="7" t="s">
        <v>421</v>
      </c>
      <c r="B170" s="7" t="s">
        <v>161</v>
      </c>
      <c r="C170" s="7" t="s">
        <v>323</v>
      </c>
      <c r="D170" s="7"/>
      <c r="E170" s="7" t="s">
        <v>329</v>
      </c>
      <c r="F170" s="7" t="s">
        <v>344</v>
      </c>
      <c r="G170" s="7" t="s">
        <v>345</v>
      </c>
      <c r="H170" s="7"/>
      <c r="I170" s="7"/>
    </row>
    <row r="171" customFormat="false" ht="15" hidden="false" customHeight="true" outlineLevel="0" collapsed="false">
      <c r="A171" s="7" t="s">
        <v>421</v>
      </c>
      <c r="B171" s="7" t="s">
        <v>461</v>
      </c>
      <c r="C171" s="7" t="s">
        <v>323</v>
      </c>
      <c r="D171" s="7"/>
      <c r="E171" s="7" t="s">
        <v>329</v>
      </c>
      <c r="F171" s="7" t="s">
        <v>344</v>
      </c>
      <c r="G171" s="7" t="s">
        <v>345</v>
      </c>
      <c r="H171" s="7"/>
      <c r="I171" s="7"/>
    </row>
    <row r="172" customFormat="false" ht="15" hidden="false" customHeight="true" outlineLevel="0" collapsed="false">
      <c r="A172" s="7" t="s">
        <v>421</v>
      </c>
      <c r="B172" s="7" t="s">
        <v>372</v>
      </c>
      <c r="C172" s="7" t="s">
        <v>323</v>
      </c>
      <c r="D172" s="7"/>
      <c r="E172" s="7" t="s">
        <v>329</v>
      </c>
      <c r="F172" s="7" t="s">
        <v>344</v>
      </c>
      <c r="G172" s="7" t="s">
        <v>345</v>
      </c>
      <c r="H172" s="7"/>
      <c r="I172" s="7"/>
    </row>
    <row r="173" customFormat="false" ht="15" hidden="false" customHeight="true" outlineLevel="0" collapsed="false">
      <c r="A173" s="7" t="s">
        <v>421</v>
      </c>
      <c r="B173" s="7" t="s">
        <v>462</v>
      </c>
      <c r="C173" s="7" t="s">
        <v>323</v>
      </c>
      <c r="D173" s="7"/>
      <c r="E173" s="7" t="s">
        <v>329</v>
      </c>
      <c r="F173" s="7" t="s">
        <v>344</v>
      </c>
      <c r="G173" s="7" t="s">
        <v>345</v>
      </c>
      <c r="H173" s="7"/>
      <c r="I173" s="7"/>
    </row>
    <row r="174" customFormat="false" ht="15" hidden="false" customHeight="true" outlineLevel="0" collapsed="false">
      <c r="A174" s="7" t="s">
        <v>421</v>
      </c>
      <c r="B174" s="7" t="s">
        <v>196</v>
      </c>
      <c r="C174" s="7" t="s">
        <v>323</v>
      </c>
      <c r="D174" s="7"/>
      <c r="E174" s="7" t="s">
        <v>324</v>
      </c>
      <c r="F174" s="7" t="s">
        <v>325</v>
      </c>
      <c r="G174" s="7" t="s">
        <v>326</v>
      </c>
      <c r="H174" s="7" t="s">
        <v>463</v>
      </c>
      <c r="I174" s="7"/>
    </row>
    <row r="175" customFormat="false" ht="15" hidden="false" customHeight="true" outlineLevel="0" collapsed="false">
      <c r="A175" s="7" t="s">
        <v>421</v>
      </c>
      <c r="B175" s="7" t="s">
        <v>464</v>
      </c>
      <c r="C175" s="7" t="s">
        <v>323</v>
      </c>
      <c r="D175" s="7"/>
      <c r="E175" s="7" t="s">
        <v>329</v>
      </c>
      <c r="F175" s="7" t="s">
        <v>344</v>
      </c>
      <c r="G175" s="7" t="s">
        <v>345</v>
      </c>
      <c r="H175" s="7"/>
      <c r="I175" s="7"/>
    </row>
    <row r="176" customFormat="false" ht="15" hidden="false" customHeight="true" outlineLevel="0" collapsed="false">
      <c r="A176" s="7" t="s">
        <v>421</v>
      </c>
      <c r="B176" s="7" t="s">
        <v>277</v>
      </c>
      <c r="C176" s="7" t="s">
        <v>323</v>
      </c>
      <c r="D176" s="7"/>
      <c r="E176" s="7" t="s">
        <v>329</v>
      </c>
      <c r="F176" s="7" t="s">
        <v>330</v>
      </c>
      <c r="G176" s="7" t="s">
        <v>331</v>
      </c>
      <c r="H176" s="7"/>
      <c r="I176" s="7"/>
    </row>
    <row r="177" customFormat="false" ht="15" hidden="false" customHeight="true" outlineLevel="0" collapsed="false">
      <c r="A177" s="7" t="s">
        <v>421</v>
      </c>
      <c r="B177" s="7" t="s">
        <v>279</v>
      </c>
      <c r="C177" s="7" t="s">
        <v>323</v>
      </c>
      <c r="D177" s="7"/>
      <c r="E177" s="7" t="s">
        <v>329</v>
      </c>
      <c r="F177" s="7" t="s">
        <v>344</v>
      </c>
      <c r="G177" s="7" t="s">
        <v>345</v>
      </c>
      <c r="H177" s="7"/>
      <c r="I177" s="7"/>
    </row>
    <row r="178" customFormat="false" ht="15" hidden="false" customHeight="true" outlineLevel="0" collapsed="false">
      <c r="A178" s="7" t="s">
        <v>421</v>
      </c>
      <c r="B178" s="7" t="s">
        <v>419</v>
      </c>
      <c r="C178" s="7" t="s">
        <v>323</v>
      </c>
      <c r="D178" s="7"/>
      <c r="E178" s="7" t="s">
        <v>329</v>
      </c>
      <c r="F178" s="7" t="s">
        <v>344</v>
      </c>
      <c r="G178" s="7" t="s">
        <v>345</v>
      </c>
      <c r="H178" s="7"/>
      <c r="I178" s="7"/>
    </row>
    <row r="179" customFormat="false" ht="15" hidden="false" customHeight="true" outlineLevel="0" collapsed="false">
      <c r="A179" s="13" t="s">
        <v>421</v>
      </c>
      <c r="B179" s="13" t="s">
        <v>465</v>
      </c>
      <c r="C179" s="13" t="s">
        <v>332</v>
      </c>
      <c r="D179" s="13" t="s">
        <v>387</v>
      </c>
      <c r="E179" s="13" t="s">
        <v>329</v>
      </c>
      <c r="F179" s="13" t="s">
        <v>344</v>
      </c>
      <c r="G179" s="13" t="s">
        <v>345</v>
      </c>
      <c r="H179" s="13"/>
      <c r="I179" s="13"/>
      <c r="J179" s="14"/>
    </row>
    <row r="180" customFormat="false" ht="15" hidden="false" customHeight="true" outlineLevel="0" collapsed="false">
      <c r="A180" s="7" t="s">
        <v>421</v>
      </c>
      <c r="B180" s="7" t="s">
        <v>373</v>
      </c>
      <c r="C180" s="7" t="s">
        <v>323</v>
      </c>
      <c r="D180" s="7"/>
      <c r="E180" s="7" t="s">
        <v>329</v>
      </c>
      <c r="F180" s="7" t="s">
        <v>344</v>
      </c>
      <c r="G180" s="7" t="s">
        <v>345</v>
      </c>
      <c r="H180" s="7"/>
      <c r="I180" s="7"/>
    </row>
    <row r="181" customFormat="false" ht="15" hidden="false" customHeight="true" outlineLevel="0" collapsed="false">
      <c r="A181" s="13" t="s">
        <v>421</v>
      </c>
      <c r="B181" s="13" t="s">
        <v>466</v>
      </c>
      <c r="C181" s="13" t="s">
        <v>332</v>
      </c>
      <c r="D181" s="13" t="s">
        <v>347</v>
      </c>
      <c r="E181" s="13" t="s">
        <v>329</v>
      </c>
      <c r="F181" s="13" t="s">
        <v>344</v>
      </c>
      <c r="G181" s="13" t="s">
        <v>345</v>
      </c>
      <c r="H181" s="13"/>
      <c r="I181" s="13"/>
      <c r="J181" s="14"/>
    </row>
    <row r="182" customFormat="false" ht="15" hidden="false" customHeight="true" outlineLevel="0" collapsed="false">
      <c r="A182" s="7" t="s">
        <v>421</v>
      </c>
      <c r="B182" s="7" t="s">
        <v>133</v>
      </c>
      <c r="C182" s="7" t="s">
        <v>323</v>
      </c>
      <c r="D182" s="7"/>
      <c r="E182" s="7" t="s">
        <v>329</v>
      </c>
      <c r="F182" s="7" t="s">
        <v>344</v>
      </c>
      <c r="G182" s="7" t="s">
        <v>345</v>
      </c>
      <c r="H182" s="7"/>
      <c r="I182" s="7"/>
    </row>
    <row r="183" customFormat="false" ht="15" hidden="false" customHeight="true" outlineLevel="0" collapsed="false">
      <c r="A183" s="7" t="s">
        <v>421</v>
      </c>
      <c r="B183" s="7" t="s">
        <v>467</v>
      </c>
      <c r="C183" s="7" t="s">
        <v>323</v>
      </c>
      <c r="D183" s="7"/>
      <c r="E183" s="7" t="s">
        <v>329</v>
      </c>
      <c r="F183" s="7" t="s">
        <v>344</v>
      </c>
      <c r="G183" s="7" t="s">
        <v>345</v>
      </c>
      <c r="H183" s="7"/>
      <c r="I183" s="7"/>
    </row>
    <row r="184" customFormat="false" ht="15" hidden="false" customHeight="true" outlineLevel="0" collapsed="false">
      <c r="A184" s="7" t="s">
        <v>421</v>
      </c>
      <c r="B184" s="7" t="s">
        <v>420</v>
      </c>
      <c r="C184" s="7" t="s">
        <v>323</v>
      </c>
      <c r="D184" s="7"/>
      <c r="E184" s="7" t="s">
        <v>329</v>
      </c>
      <c r="F184" s="7" t="s">
        <v>344</v>
      </c>
      <c r="G184" s="7" t="s">
        <v>345</v>
      </c>
      <c r="H184" s="7"/>
      <c r="I184" s="7"/>
    </row>
    <row r="185" customFormat="false" ht="15" hidden="false" customHeight="true" outlineLevel="0" collapsed="false">
      <c r="A185" s="7" t="s">
        <v>421</v>
      </c>
      <c r="B185" s="7" t="s">
        <v>468</v>
      </c>
      <c r="C185" s="7" t="s">
        <v>323</v>
      </c>
      <c r="D185" s="7"/>
      <c r="E185" s="7" t="s">
        <v>329</v>
      </c>
      <c r="F185" s="7" t="s">
        <v>344</v>
      </c>
      <c r="G185" s="7" t="s">
        <v>345</v>
      </c>
      <c r="H185" s="7"/>
      <c r="I185" s="7"/>
    </row>
    <row r="186" customFormat="false" ht="15" hidden="false" customHeight="true" outlineLevel="0" collapsed="false">
      <c r="A186" s="13" t="s">
        <v>421</v>
      </c>
      <c r="B186" s="13" t="s">
        <v>469</v>
      </c>
      <c r="C186" s="13" t="s">
        <v>332</v>
      </c>
      <c r="D186" s="13" t="s">
        <v>347</v>
      </c>
      <c r="E186" s="13" t="s">
        <v>329</v>
      </c>
      <c r="F186" s="13" t="s">
        <v>344</v>
      </c>
      <c r="G186" s="13" t="s">
        <v>345</v>
      </c>
      <c r="H186" s="13"/>
      <c r="I186" s="13"/>
      <c r="J186" s="14"/>
    </row>
    <row r="187" customFormat="false" ht="15" hidden="false" customHeight="true" outlineLevel="0" collapsed="false">
      <c r="A187" s="7" t="s">
        <v>421</v>
      </c>
      <c r="B187" s="7" t="s">
        <v>470</v>
      </c>
      <c r="C187" s="7" t="s">
        <v>323</v>
      </c>
      <c r="D187" s="7"/>
      <c r="E187" s="7" t="s">
        <v>329</v>
      </c>
      <c r="F187" s="7" t="s">
        <v>344</v>
      </c>
      <c r="G187" s="7" t="s">
        <v>345</v>
      </c>
      <c r="H187" s="7"/>
      <c r="I187" s="7"/>
    </row>
    <row r="188" customFormat="false" ht="15" hidden="false" customHeight="true" outlineLevel="0" collapsed="false">
      <c r="A188" s="7" t="s">
        <v>421</v>
      </c>
      <c r="B188" s="7" t="s">
        <v>471</v>
      </c>
      <c r="C188" s="7" t="s">
        <v>323</v>
      </c>
      <c r="D188" s="7"/>
      <c r="E188" s="7" t="s">
        <v>329</v>
      </c>
      <c r="F188" s="7" t="s">
        <v>344</v>
      </c>
      <c r="G188" s="7" t="s">
        <v>345</v>
      </c>
      <c r="H188" s="7"/>
      <c r="I188" s="7"/>
    </row>
    <row r="189" customFormat="false" ht="15" hidden="false" customHeight="true" outlineLevel="0" collapsed="false">
      <c r="A189" s="7" t="s">
        <v>421</v>
      </c>
      <c r="B189" s="7" t="s">
        <v>472</v>
      </c>
      <c r="C189" s="7" t="s">
        <v>323</v>
      </c>
      <c r="D189" s="7"/>
      <c r="E189" s="7" t="s">
        <v>329</v>
      </c>
      <c r="F189" s="7" t="s">
        <v>344</v>
      </c>
      <c r="G189" s="7" t="s">
        <v>345</v>
      </c>
      <c r="H189" s="7"/>
      <c r="I189" s="7"/>
    </row>
    <row r="190" customFormat="false" ht="15" hidden="false" customHeight="true" outlineLevel="0" collapsed="false">
      <c r="A190" s="7" t="s">
        <v>421</v>
      </c>
      <c r="B190" s="7" t="s">
        <v>473</v>
      </c>
      <c r="C190" s="7" t="s">
        <v>323</v>
      </c>
      <c r="D190" s="7"/>
      <c r="E190" s="7" t="s">
        <v>329</v>
      </c>
      <c r="F190" s="7" t="s">
        <v>344</v>
      </c>
      <c r="G190" s="7" t="s">
        <v>345</v>
      </c>
      <c r="H190" s="7"/>
      <c r="I190" s="7"/>
    </row>
    <row r="191" customFormat="false" ht="15" hidden="false" customHeight="true" outlineLevel="0" collapsed="false">
      <c r="A191" s="7" t="s">
        <v>421</v>
      </c>
      <c r="B191" s="7" t="s">
        <v>474</v>
      </c>
      <c r="C191" s="7" t="s">
        <v>323</v>
      </c>
      <c r="D191" s="7"/>
      <c r="E191" s="7" t="s">
        <v>329</v>
      </c>
      <c r="F191" s="7" t="s">
        <v>344</v>
      </c>
      <c r="G191" s="7" t="s">
        <v>345</v>
      </c>
      <c r="H191" s="7"/>
      <c r="I191" s="7"/>
    </row>
    <row r="192" customFormat="false" ht="15" hidden="false" customHeight="true" outlineLevel="0" collapsed="false">
      <c r="A192" s="7" t="s">
        <v>421</v>
      </c>
      <c r="B192" s="7" t="s">
        <v>475</v>
      </c>
      <c r="C192" s="7" t="s">
        <v>323</v>
      </c>
      <c r="D192" s="7"/>
      <c r="E192" s="7" t="s">
        <v>329</v>
      </c>
      <c r="F192" s="7" t="s">
        <v>344</v>
      </c>
      <c r="G192" s="7" t="s">
        <v>345</v>
      </c>
      <c r="H192" s="7"/>
      <c r="I192" s="7"/>
    </row>
    <row r="193" customFormat="false" ht="15" hidden="false" customHeight="true" outlineLevel="0" collapsed="false">
      <c r="A193" s="7" t="s">
        <v>421</v>
      </c>
      <c r="B193" s="7" t="s">
        <v>476</v>
      </c>
      <c r="C193" s="7" t="s">
        <v>323</v>
      </c>
      <c r="D193" s="7"/>
      <c r="E193" s="7" t="s">
        <v>329</v>
      </c>
      <c r="F193" s="7" t="s">
        <v>344</v>
      </c>
      <c r="G193" s="7" t="s">
        <v>345</v>
      </c>
      <c r="H193" s="7"/>
      <c r="I193" s="7"/>
    </row>
    <row r="194" customFormat="false" ht="15" hidden="false" customHeight="true" outlineLevel="0" collapsed="false">
      <c r="A194" s="7" t="s">
        <v>421</v>
      </c>
      <c r="B194" s="7" t="s">
        <v>477</v>
      </c>
      <c r="C194" s="7" t="s">
        <v>323</v>
      </c>
      <c r="D194" s="7"/>
      <c r="E194" s="7" t="s">
        <v>329</v>
      </c>
      <c r="F194" s="7" t="s">
        <v>344</v>
      </c>
      <c r="G194" s="7" t="s">
        <v>345</v>
      </c>
      <c r="H194" s="7"/>
      <c r="I194" s="7"/>
    </row>
    <row r="195" customFormat="false" ht="15" hidden="false" customHeight="true" outlineLevel="0" collapsed="false">
      <c r="A195" s="7" t="s">
        <v>421</v>
      </c>
      <c r="B195" s="7" t="s">
        <v>478</v>
      </c>
      <c r="C195" s="7" t="s">
        <v>323</v>
      </c>
      <c r="D195" s="7"/>
      <c r="E195" s="7" t="s">
        <v>329</v>
      </c>
      <c r="F195" s="7" t="s">
        <v>344</v>
      </c>
      <c r="G195" s="7" t="s">
        <v>345</v>
      </c>
      <c r="H195" s="7"/>
      <c r="I195" s="7"/>
    </row>
    <row r="196" customFormat="false" ht="15" hidden="false" customHeight="true" outlineLevel="0" collapsed="false">
      <c r="A196" s="7" t="s">
        <v>421</v>
      </c>
      <c r="B196" s="7" t="s">
        <v>479</v>
      </c>
      <c r="C196" s="7" t="s">
        <v>323</v>
      </c>
      <c r="D196" s="7"/>
      <c r="E196" s="7" t="s">
        <v>329</v>
      </c>
      <c r="F196" s="7" t="s">
        <v>344</v>
      </c>
      <c r="G196" s="7" t="s">
        <v>345</v>
      </c>
      <c r="H196" s="7"/>
      <c r="I196" s="7"/>
    </row>
    <row r="197" customFormat="false" ht="15" hidden="false" customHeight="true" outlineLevel="0" collapsed="false">
      <c r="A197" s="7" t="s">
        <v>421</v>
      </c>
      <c r="B197" s="7" t="s">
        <v>480</v>
      </c>
      <c r="C197" s="7" t="s">
        <v>323</v>
      </c>
      <c r="D197" s="7"/>
      <c r="E197" s="7" t="s">
        <v>329</v>
      </c>
      <c r="F197" s="7" t="s">
        <v>344</v>
      </c>
      <c r="G197" s="7" t="s">
        <v>345</v>
      </c>
      <c r="H197" s="7"/>
      <c r="I197" s="7"/>
    </row>
    <row r="198" customFormat="false" ht="15" hidden="false" customHeight="true" outlineLevel="0" collapsed="false">
      <c r="A198" s="7" t="s">
        <v>421</v>
      </c>
      <c r="B198" s="7" t="s">
        <v>481</v>
      </c>
      <c r="C198" s="7" t="s">
        <v>323</v>
      </c>
      <c r="D198" s="7"/>
      <c r="E198" s="7" t="s">
        <v>329</v>
      </c>
      <c r="F198" s="7" t="s">
        <v>344</v>
      </c>
      <c r="G198" s="7" t="s">
        <v>345</v>
      </c>
      <c r="H198" s="7"/>
      <c r="I198" s="7"/>
    </row>
    <row r="199" customFormat="false" ht="15" hidden="false" customHeight="true" outlineLevel="0" collapsed="false">
      <c r="A199" s="7" t="s">
        <v>421</v>
      </c>
      <c r="B199" s="7" t="s">
        <v>482</v>
      </c>
      <c r="C199" s="7" t="s">
        <v>323</v>
      </c>
      <c r="D199" s="7"/>
      <c r="E199" s="7" t="s">
        <v>329</v>
      </c>
      <c r="F199" s="7" t="s">
        <v>344</v>
      </c>
      <c r="G199" s="7" t="s">
        <v>345</v>
      </c>
      <c r="H199" s="7"/>
      <c r="I199" s="7"/>
    </row>
    <row r="200" customFormat="false" ht="15" hidden="false" customHeight="true" outlineLevel="0" collapsed="false">
      <c r="A200" s="7" t="s">
        <v>421</v>
      </c>
      <c r="B200" s="7" t="s">
        <v>483</v>
      </c>
      <c r="C200" s="7" t="s">
        <v>323</v>
      </c>
      <c r="D200" s="7"/>
      <c r="E200" s="7" t="s">
        <v>329</v>
      </c>
      <c r="F200" s="7" t="s">
        <v>344</v>
      </c>
      <c r="G200" s="7" t="s">
        <v>345</v>
      </c>
      <c r="H200" s="7"/>
      <c r="I200" s="7"/>
    </row>
    <row r="201" customFormat="false" ht="15" hidden="false" customHeight="true" outlineLevel="0" collapsed="false">
      <c r="A201" s="7" t="s">
        <v>421</v>
      </c>
      <c r="B201" s="7" t="s">
        <v>484</v>
      </c>
      <c r="C201" s="7" t="s">
        <v>323</v>
      </c>
      <c r="D201" s="7"/>
      <c r="E201" s="7" t="s">
        <v>329</v>
      </c>
      <c r="F201" s="7" t="s">
        <v>344</v>
      </c>
      <c r="G201" s="7" t="s">
        <v>345</v>
      </c>
      <c r="H201" s="7"/>
      <c r="I201" s="7"/>
    </row>
    <row r="202" customFormat="false" ht="15" hidden="false" customHeight="true" outlineLevel="0" collapsed="false">
      <c r="A202" s="7" t="s">
        <v>421</v>
      </c>
      <c r="B202" s="7" t="s">
        <v>485</v>
      </c>
      <c r="C202" s="7" t="s">
        <v>323</v>
      </c>
      <c r="D202" s="7"/>
      <c r="E202" s="7" t="s">
        <v>329</v>
      </c>
      <c r="F202" s="7" t="s">
        <v>330</v>
      </c>
      <c r="G202" s="7" t="s">
        <v>331</v>
      </c>
      <c r="H202" s="7"/>
      <c r="I202" s="7"/>
    </row>
    <row r="203" customFormat="false" ht="15" hidden="false" customHeight="true" outlineLevel="0" collapsed="false">
      <c r="A203" s="7" t="s">
        <v>421</v>
      </c>
      <c r="B203" s="7" t="s">
        <v>486</v>
      </c>
      <c r="C203" s="7" t="s">
        <v>323</v>
      </c>
      <c r="D203" s="7"/>
      <c r="E203" s="7" t="s">
        <v>329</v>
      </c>
      <c r="F203" s="7" t="s">
        <v>344</v>
      </c>
      <c r="G203" s="7" t="s">
        <v>345</v>
      </c>
      <c r="H203" s="7"/>
      <c r="I203" s="7"/>
    </row>
    <row r="204" customFormat="false" ht="15" hidden="false" customHeight="true" outlineLevel="0" collapsed="false">
      <c r="A204" s="7" t="s">
        <v>421</v>
      </c>
      <c r="B204" s="7" t="s">
        <v>487</v>
      </c>
      <c r="C204" s="7" t="s">
        <v>323</v>
      </c>
      <c r="D204" s="7"/>
      <c r="E204" s="7" t="s">
        <v>329</v>
      </c>
      <c r="F204" s="7" t="s">
        <v>330</v>
      </c>
      <c r="G204" s="7" t="s">
        <v>331</v>
      </c>
      <c r="H204" s="7"/>
      <c r="I204" s="7"/>
    </row>
    <row r="205" customFormat="false" ht="15" hidden="false" customHeight="true" outlineLevel="0" collapsed="false">
      <c r="A205" s="7" t="s">
        <v>421</v>
      </c>
      <c r="B205" s="7" t="s">
        <v>488</v>
      </c>
      <c r="C205" s="7" t="s">
        <v>323</v>
      </c>
      <c r="D205" s="7"/>
      <c r="E205" s="7" t="s">
        <v>329</v>
      </c>
      <c r="F205" s="7" t="s">
        <v>344</v>
      </c>
      <c r="G205" s="7" t="s">
        <v>345</v>
      </c>
      <c r="H205" s="7"/>
      <c r="I205" s="7"/>
    </row>
    <row r="206" customFormat="false" ht="15" hidden="false" customHeight="true" outlineLevel="0" collapsed="false">
      <c r="A206" s="7" t="s">
        <v>421</v>
      </c>
      <c r="B206" s="7" t="s">
        <v>489</v>
      </c>
      <c r="C206" s="7" t="s">
        <v>323</v>
      </c>
      <c r="D206" s="7"/>
      <c r="E206" s="7" t="s">
        <v>329</v>
      </c>
      <c r="F206" s="7" t="s">
        <v>330</v>
      </c>
      <c r="G206" s="7" t="s">
        <v>331</v>
      </c>
      <c r="H206" s="7"/>
      <c r="I206" s="7"/>
    </row>
    <row r="207" customFormat="false" ht="15" hidden="false" customHeight="true" outlineLevel="0" collapsed="false">
      <c r="A207" s="7" t="s">
        <v>421</v>
      </c>
      <c r="B207" s="7" t="s">
        <v>490</v>
      </c>
      <c r="C207" s="7" t="s">
        <v>323</v>
      </c>
      <c r="D207" s="7"/>
      <c r="E207" s="7" t="s">
        <v>329</v>
      </c>
      <c r="F207" s="7" t="s">
        <v>344</v>
      </c>
      <c r="G207" s="7" t="s">
        <v>345</v>
      </c>
      <c r="H207" s="7"/>
      <c r="I207" s="7"/>
    </row>
    <row r="208" customFormat="false" ht="15" hidden="false" customHeight="true" outlineLevel="0" collapsed="false">
      <c r="A208" s="7" t="s">
        <v>421</v>
      </c>
      <c r="B208" s="7" t="s">
        <v>491</v>
      </c>
      <c r="C208" s="7" t="s">
        <v>323</v>
      </c>
      <c r="D208" s="7"/>
      <c r="E208" s="7" t="s">
        <v>329</v>
      </c>
      <c r="F208" s="7" t="s">
        <v>344</v>
      </c>
      <c r="G208" s="7" t="s">
        <v>345</v>
      </c>
      <c r="H208" s="7"/>
      <c r="I208" s="7"/>
    </row>
    <row r="209" customFormat="false" ht="15" hidden="false" customHeight="true" outlineLevel="0" collapsed="false">
      <c r="A209" s="7" t="s">
        <v>421</v>
      </c>
      <c r="B209" s="7" t="s">
        <v>492</v>
      </c>
      <c r="C209" s="7" t="s">
        <v>323</v>
      </c>
      <c r="D209" s="7"/>
      <c r="E209" s="7" t="s">
        <v>329</v>
      </c>
      <c r="F209" s="7" t="s">
        <v>344</v>
      </c>
      <c r="G209" s="7" t="s">
        <v>345</v>
      </c>
      <c r="H209" s="7"/>
      <c r="I209" s="7"/>
    </row>
    <row r="210" customFormat="false" ht="15" hidden="false" customHeight="true" outlineLevel="0" collapsed="false">
      <c r="A210" s="7" t="s">
        <v>421</v>
      </c>
      <c r="B210" s="7" t="s">
        <v>493</v>
      </c>
      <c r="C210" s="7" t="s">
        <v>323</v>
      </c>
      <c r="D210" s="7"/>
      <c r="E210" s="7" t="s">
        <v>329</v>
      </c>
      <c r="F210" s="7" t="s">
        <v>344</v>
      </c>
      <c r="G210" s="7" t="s">
        <v>345</v>
      </c>
      <c r="H210" s="7"/>
      <c r="I210" s="7"/>
    </row>
    <row r="211" customFormat="false" ht="15" hidden="false" customHeight="true" outlineLevel="0" collapsed="false">
      <c r="A211" s="7" t="s">
        <v>421</v>
      </c>
      <c r="B211" s="7" t="s">
        <v>494</v>
      </c>
      <c r="C211" s="7" t="s">
        <v>323</v>
      </c>
      <c r="D211" s="7"/>
      <c r="E211" s="7" t="s">
        <v>329</v>
      </c>
      <c r="F211" s="7" t="s">
        <v>344</v>
      </c>
      <c r="G211" s="7" t="s">
        <v>345</v>
      </c>
      <c r="H211" s="7"/>
      <c r="I211" s="7"/>
    </row>
    <row r="212" customFormat="false" ht="15" hidden="false" customHeight="true" outlineLevel="0" collapsed="false">
      <c r="A212" s="7" t="s">
        <v>421</v>
      </c>
      <c r="B212" s="7" t="s">
        <v>495</v>
      </c>
      <c r="C212" s="7" t="s">
        <v>323</v>
      </c>
      <c r="D212" s="7"/>
      <c r="E212" s="7" t="s">
        <v>329</v>
      </c>
      <c r="F212" s="7" t="s">
        <v>344</v>
      </c>
      <c r="G212" s="7" t="s">
        <v>345</v>
      </c>
      <c r="H212" s="7"/>
      <c r="I212" s="7"/>
    </row>
    <row r="213" customFormat="false" ht="15" hidden="false" customHeight="true" outlineLevel="0" collapsed="false">
      <c r="A213" s="7" t="s">
        <v>421</v>
      </c>
      <c r="B213" s="7" t="s">
        <v>496</v>
      </c>
      <c r="C213" s="7" t="s">
        <v>323</v>
      </c>
      <c r="D213" s="7"/>
      <c r="E213" s="7" t="s">
        <v>329</v>
      </c>
      <c r="F213" s="7" t="s">
        <v>344</v>
      </c>
      <c r="G213" s="7" t="s">
        <v>345</v>
      </c>
      <c r="H213" s="7"/>
      <c r="I213" s="7"/>
    </row>
    <row r="214" customFormat="false" ht="15" hidden="false" customHeight="true" outlineLevel="0" collapsed="false">
      <c r="A214" s="7" t="s">
        <v>421</v>
      </c>
      <c r="B214" s="7" t="s">
        <v>497</v>
      </c>
      <c r="C214" s="7" t="s">
        <v>323</v>
      </c>
      <c r="D214" s="7"/>
      <c r="E214" s="7" t="s">
        <v>329</v>
      </c>
      <c r="F214" s="7" t="s">
        <v>344</v>
      </c>
      <c r="G214" s="7" t="s">
        <v>345</v>
      </c>
      <c r="H214" s="7"/>
      <c r="I214" s="7"/>
    </row>
    <row r="215" customFormat="false" ht="15" hidden="false" customHeight="true" outlineLevel="0" collapsed="false">
      <c r="A215" s="7" t="s">
        <v>421</v>
      </c>
      <c r="B215" s="7" t="s">
        <v>498</v>
      </c>
      <c r="C215" s="7" t="s">
        <v>323</v>
      </c>
      <c r="D215" s="7"/>
      <c r="E215" s="7" t="s">
        <v>329</v>
      </c>
      <c r="F215" s="7" t="s">
        <v>344</v>
      </c>
      <c r="G215" s="7" t="s">
        <v>345</v>
      </c>
      <c r="H215" s="7"/>
      <c r="I215" s="7"/>
    </row>
    <row r="216" customFormat="false" ht="15" hidden="false" customHeight="true" outlineLevel="0" collapsed="false">
      <c r="A216" s="7" t="s">
        <v>421</v>
      </c>
      <c r="B216" s="7" t="s">
        <v>499</v>
      </c>
      <c r="C216" s="7" t="s">
        <v>323</v>
      </c>
      <c r="D216" s="7"/>
      <c r="E216" s="7" t="s">
        <v>329</v>
      </c>
      <c r="F216" s="7" t="s">
        <v>344</v>
      </c>
      <c r="G216" s="7" t="s">
        <v>345</v>
      </c>
      <c r="H216" s="7"/>
      <c r="I216" s="7"/>
    </row>
    <row r="217" customFormat="false" ht="15" hidden="false" customHeight="true" outlineLevel="0" collapsed="false">
      <c r="A217" s="7" t="s">
        <v>421</v>
      </c>
      <c r="B217" s="7" t="s">
        <v>500</v>
      </c>
      <c r="C217" s="7" t="s">
        <v>323</v>
      </c>
      <c r="D217" s="7"/>
      <c r="E217" s="7" t="s">
        <v>329</v>
      </c>
      <c r="F217" s="7" t="s">
        <v>344</v>
      </c>
      <c r="G217" s="7" t="s">
        <v>345</v>
      </c>
      <c r="H217" s="7"/>
      <c r="I217" s="7"/>
    </row>
    <row r="218" customFormat="false" ht="15" hidden="false" customHeight="true" outlineLevel="0" collapsed="false">
      <c r="A218" s="7" t="s">
        <v>421</v>
      </c>
      <c r="B218" s="7" t="s">
        <v>501</v>
      </c>
      <c r="C218" s="7" t="s">
        <v>323</v>
      </c>
      <c r="D218" s="7"/>
      <c r="E218" s="7" t="s">
        <v>329</v>
      </c>
      <c r="F218" s="7" t="s">
        <v>344</v>
      </c>
      <c r="G218" s="7" t="s">
        <v>345</v>
      </c>
      <c r="H218" s="7"/>
      <c r="I218" s="7"/>
    </row>
    <row r="219" customFormat="false" ht="15" hidden="false" customHeight="true" outlineLevel="0" collapsed="false">
      <c r="A219" s="7" t="s">
        <v>421</v>
      </c>
      <c r="B219" s="7" t="s">
        <v>502</v>
      </c>
      <c r="C219" s="7" t="s">
        <v>323</v>
      </c>
      <c r="D219" s="7"/>
      <c r="E219" s="7" t="s">
        <v>329</v>
      </c>
      <c r="F219" s="7" t="s">
        <v>330</v>
      </c>
      <c r="G219" s="7" t="s">
        <v>331</v>
      </c>
      <c r="H219" s="7"/>
      <c r="I219" s="7"/>
    </row>
    <row r="220" customFormat="false" ht="15" hidden="false" customHeight="true" outlineLevel="0" collapsed="false">
      <c r="A220" s="7" t="s">
        <v>421</v>
      </c>
      <c r="B220" s="7" t="s">
        <v>503</v>
      </c>
      <c r="C220" s="7" t="s">
        <v>323</v>
      </c>
      <c r="D220" s="7"/>
      <c r="E220" s="7" t="s">
        <v>329</v>
      </c>
      <c r="F220" s="7" t="s">
        <v>344</v>
      </c>
      <c r="G220" s="7" t="s">
        <v>345</v>
      </c>
      <c r="H220" s="7"/>
      <c r="I220" s="7"/>
    </row>
    <row r="221" customFormat="false" ht="15" hidden="false" customHeight="true" outlineLevel="0" collapsed="false">
      <c r="A221" s="7" t="s">
        <v>421</v>
      </c>
      <c r="B221" s="7" t="s">
        <v>504</v>
      </c>
      <c r="C221" s="7" t="s">
        <v>323</v>
      </c>
      <c r="D221" s="7"/>
      <c r="E221" s="7" t="s">
        <v>329</v>
      </c>
      <c r="F221" s="7" t="s">
        <v>344</v>
      </c>
      <c r="G221" s="7" t="s">
        <v>345</v>
      </c>
      <c r="H221" s="7"/>
      <c r="I221" s="7"/>
    </row>
    <row r="222" customFormat="false" ht="15" hidden="false" customHeight="true" outlineLevel="0" collapsed="false">
      <c r="A222" s="7" t="s">
        <v>421</v>
      </c>
      <c r="B222" s="7" t="s">
        <v>505</v>
      </c>
      <c r="C222" s="7" t="s">
        <v>323</v>
      </c>
      <c r="D222" s="7"/>
      <c r="E222" s="7" t="s">
        <v>329</v>
      </c>
      <c r="F222" s="7" t="s">
        <v>344</v>
      </c>
      <c r="G222" s="7" t="s">
        <v>345</v>
      </c>
      <c r="H222" s="7"/>
      <c r="I222" s="7"/>
    </row>
    <row r="223" customFormat="false" ht="15" hidden="false" customHeight="true" outlineLevel="0" collapsed="false">
      <c r="A223" s="7" t="s">
        <v>421</v>
      </c>
      <c r="B223" s="7" t="s">
        <v>506</v>
      </c>
      <c r="C223" s="7" t="s">
        <v>323</v>
      </c>
      <c r="D223" s="7"/>
      <c r="E223" s="7" t="s">
        <v>329</v>
      </c>
      <c r="F223" s="7" t="s">
        <v>344</v>
      </c>
      <c r="G223" s="7" t="s">
        <v>345</v>
      </c>
      <c r="H223" s="7"/>
      <c r="I223" s="7"/>
    </row>
    <row r="224" customFormat="false" ht="15" hidden="false" customHeight="true" outlineLevel="0" collapsed="false">
      <c r="A224" s="7" t="s">
        <v>421</v>
      </c>
      <c r="B224" s="7" t="s">
        <v>507</v>
      </c>
      <c r="C224" s="7" t="s">
        <v>323</v>
      </c>
      <c r="D224" s="7"/>
      <c r="E224" s="7" t="s">
        <v>329</v>
      </c>
      <c r="F224" s="7" t="s">
        <v>344</v>
      </c>
      <c r="G224" s="7" t="s">
        <v>345</v>
      </c>
      <c r="H224" s="7"/>
      <c r="I224" s="7"/>
    </row>
    <row r="225" customFormat="false" ht="15" hidden="false" customHeight="true" outlineLevel="0" collapsed="false">
      <c r="A225" s="7" t="s">
        <v>421</v>
      </c>
      <c r="B225" s="7" t="s">
        <v>508</v>
      </c>
      <c r="C225" s="7" t="s">
        <v>323</v>
      </c>
      <c r="D225" s="7"/>
      <c r="E225" s="7" t="s">
        <v>329</v>
      </c>
      <c r="F225" s="7" t="s">
        <v>344</v>
      </c>
      <c r="G225" s="7" t="s">
        <v>345</v>
      </c>
      <c r="H225" s="7"/>
      <c r="I225" s="7"/>
    </row>
    <row r="226" customFormat="false" ht="15" hidden="false" customHeight="true" outlineLevel="0" collapsed="false">
      <c r="A226" s="7" t="s">
        <v>421</v>
      </c>
      <c r="B226" s="7" t="s">
        <v>509</v>
      </c>
      <c r="C226" s="7" t="s">
        <v>323</v>
      </c>
      <c r="D226" s="7"/>
      <c r="E226" s="7" t="s">
        <v>329</v>
      </c>
      <c r="F226" s="7" t="s">
        <v>344</v>
      </c>
      <c r="G226" s="7" t="s">
        <v>345</v>
      </c>
      <c r="H226" s="7"/>
      <c r="I226" s="7"/>
    </row>
    <row r="227" customFormat="false" ht="15" hidden="false" customHeight="true" outlineLevel="0" collapsed="false">
      <c r="A227" s="7" t="s">
        <v>421</v>
      </c>
      <c r="B227" s="7" t="s">
        <v>510</v>
      </c>
      <c r="C227" s="7" t="s">
        <v>323</v>
      </c>
      <c r="D227" s="7"/>
      <c r="E227" s="7" t="s">
        <v>329</v>
      </c>
      <c r="F227" s="7" t="s">
        <v>344</v>
      </c>
      <c r="G227" s="7" t="s">
        <v>345</v>
      </c>
      <c r="H227" s="7"/>
      <c r="I227" s="7"/>
    </row>
    <row r="228" customFormat="false" ht="15" hidden="false" customHeight="true" outlineLevel="0" collapsed="false">
      <c r="A228" s="7" t="s">
        <v>421</v>
      </c>
      <c r="B228" s="7" t="s">
        <v>511</v>
      </c>
      <c r="C228" s="7" t="s">
        <v>323</v>
      </c>
      <c r="D228" s="7"/>
      <c r="E228" s="7" t="s">
        <v>329</v>
      </c>
      <c r="F228" s="7" t="s">
        <v>344</v>
      </c>
      <c r="G228" s="7" t="s">
        <v>345</v>
      </c>
      <c r="H228" s="7"/>
      <c r="I228" s="7"/>
    </row>
    <row r="229" customFormat="false" ht="15" hidden="false" customHeight="true" outlineLevel="0" collapsed="false">
      <c r="A229" s="7" t="s">
        <v>421</v>
      </c>
      <c r="B229" s="7" t="s">
        <v>512</v>
      </c>
      <c r="C229" s="7" t="s">
        <v>323</v>
      </c>
      <c r="D229" s="7"/>
      <c r="E229" s="7" t="s">
        <v>329</v>
      </c>
      <c r="F229" s="7" t="s">
        <v>344</v>
      </c>
      <c r="G229" s="7" t="s">
        <v>345</v>
      </c>
      <c r="H229" s="7"/>
      <c r="I229" s="7"/>
    </row>
    <row r="230" customFormat="false" ht="15" hidden="false" customHeight="true" outlineLevel="0" collapsed="false">
      <c r="A230" s="7" t="s">
        <v>421</v>
      </c>
      <c r="B230" s="7" t="s">
        <v>513</v>
      </c>
      <c r="C230" s="7" t="s">
        <v>323</v>
      </c>
      <c r="D230" s="7"/>
      <c r="E230" s="7" t="s">
        <v>329</v>
      </c>
      <c r="F230" s="7" t="s">
        <v>344</v>
      </c>
      <c r="G230" s="7" t="s">
        <v>345</v>
      </c>
      <c r="H230" s="7"/>
      <c r="I230" s="7"/>
    </row>
    <row r="231" customFormat="false" ht="15" hidden="false" customHeight="true" outlineLevel="0" collapsed="false">
      <c r="A231" s="7" t="s">
        <v>421</v>
      </c>
      <c r="B231" s="7" t="s">
        <v>514</v>
      </c>
      <c r="C231" s="7" t="s">
        <v>323</v>
      </c>
      <c r="D231" s="7"/>
      <c r="E231" s="7" t="s">
        <v>329</v>
      </c>
      <c r="F231" s="7" t="s">
        <v>344</v>
      </c>
      <c r="G231" s="7" t="s">
        <v>345</v>
      </c>
      <c r="H231" s="7"/>
      <c r="I231" s="7"/>
    </row>
    <row r="232" customFormat="false" ht="15" hidden="false" customHeight="true" outlineLevel="0" collapsed="false">
      <c r="A232" s="7" t="s">
        <v>421</v>
      </c>
      <c r="B232" s="7" t="s">
        <v>515</v>
      </c>
      <c r="C232" s="7" t="s">
        <v>323</v>
      </c>
      <c r="D232" s="7"/>
      <c r="E232" s="7" t="s">
        <v>329</v>
      </c>
      <c r="F232" s="7" t="s">
        <v>344</v>
      </c>
      <c r="G232" s="7" t="s">
        <v>345</v>
      </c>
      <c r="H232" s="7"/>
      <c r="I232" s="7"/>
    </row>
    <row r="233" customFormat="false" ht="15" hidden="false" customHeight="true" outlineLevel="0" collapsed="false">
      <c r="A233" s="7" t="s">
        <v>421</v>
      </c>
      <c r="B233" s="7" t="s">
        <v>516</v>
      </c>
      <c r="C233" s="7" t="s">
        <v>323</v>
      </c>
      <c r="D233" s="7"/>
      <c r="E233" s="7" t="s">
        <v>329</v>
      </c>
      <c r="F233" s="7" t="s">
        <v>344</v>
      </c>
      <c r="G233" s="7" t="s">
        <v>345</v>
      </c>
      <c r="H233" s="7"/>
      <c r="I233" s="7"/>
    </row>
    <row r="234" customFormat="false" ht="15" hidden="false" customHeight="true" outlineLevel="0" collapsed="false">
      <c r="A234" s="7" t="s">
        <v>421</v>
      </c>
      <c r="B234" s="7" t="s">
        <v>517</v>
      </c>
      <c r="C234" s="7" t="s">
        <v>323</v>
      </c>
      <c r="D234" s="7"/>
      <c r="E234" s="7" t="s">
        <v>329</v>
      </c>
      <c r="F234" s="7" t="s">
        <v>344</v>
      </c>
      <c r="G234" s="7" t="s">
        <v>345</v>
      </c>
      <c r="H234" s="7"/>
      <c r="I234" s="7"/>
    </row>
    <row r="235" customFormat="false" ht="15" hidden="false" customHeight="true" outlineLevel="0" collapsed="false">
      <c r="A235" s="7" t="s">
        <v>421</v>
      </c>
      <c r="B235" s="7" t="s">
        <v>518</v>
      </c>
      <c r="C235" s="7" t="s">
        <v>323</v>
      </c>
      <c r="D235" s="7"/>
      <c r="E235" s="7" t="s">
        <v>329</v>
      </c>
      <c r="F235" s="7" t="s">
        <v>344</v>
      </c>
      <c r="G235" s="7" t="s">
        <v>345</v>
      </c>
      <c r="H235" s="7"/>
      <c r="I235" s="7"/>
    </row>
    <row r="236" customFormat="false" ht="15" hidden="false" customHeight="true" outlineLevel="0" collapsed="false">
      <c r="A236" s="7" t="s">
        <v>421</v>
      </c>
      <c r="B236" s="7" t="s">
        <v>519</v>
      </c>
      <c r="C236" s="7" t="s">
        <v>323</v>
      </c>
      <c r="D236" s="7"/>
      <c r="E236" s="7" t="s">
        <v>329</v>
      </c>
      <c r="F236" s="7" t="s">
        <v>330</v>
      </c>
      <c r="G236" s="7" t="s">
        <v>331</v>
      </c>
      <c r="H236" s="7"/>
      <c r="I236" s="7"/>
    </row>
    <row r="237" customFormat="false" ht="15" hidden="false" customHeight="true" outlineLevel="0" collapsed="false">
      <c r="A237" s="7" t="s">
        <v>421</v>
      </c>
      <c r="B237" s="7" t="s">
        <v>520</v>
      </c>
      <c r="C237" s="7" t="s">
        <v>323</v>
      </c>
      <c r="D237" s="7"/>
      <c r="E237" s="7" t="s">
        <v>329</v>
      </c>
      <c r="F237" s="7" t="s">
        <v>330</v>
      </c>
      <c r="G237" s="7" t="s">
        <v>331</v>
      </c>
      <c r="H237" s="7"/>
      <c r="I237" s="7"/>
    </row>
    <row r="238" customFormat="false" ht="15" hidden="false" customHeight="true" outlineLevel="0" collapsed="false">
      <c r="A238" s="7" t="s">
        <v>421</v>
      </c>
      <c r="B238" s="7" t="s">
        <v>521</v>
      </c>
      <c r="C238" s="7" t="s">
        <v>323</v>
      </c>
      <c r="D238" s="7"/>
      <c r="E238" s="7" t="s">
        <v>329</v>
      </c>
      <c r="F238" s="7" t="s">
        <v>344</v>
      </c>
      <c r="G238" s="7" t="s">
        <v>345</v>
      </c>
      <c r="H238" s="7"/>
      <c r="I238" s="7"/>
    </row>
    <row r="239" customFormat="false" ht="15" hidden="false" customHeight="true" outlineLevel="0" collapsed="false">
      <c r="A239" s="7" t="s">
        <v>421</v>
      </c>
      <c r="B239" s="7" t="s">
        <v>522</v>
      </c>
      <c r="C239" s="7" t="s">
        <v>323</v>
      </c>
      <c r="D239" s="7"/>
      <c r="E239" s="7" t="s">
        <v>329</v>
      </c>
      <c r="F239" s="7" t="s">
        <v>344</v>
      </c>
      <c r="G239" s="7" t="s">
        <v>345</v>
      </c>
      <c r="H239" s="7"/>
      <c r="I239" s="7"/>
    </row>
    <row r="240" customFormat="false" ht="15" hidden="false" customHeight="true" outlineLevel="0" collapsed="false">
      <c r="A240" s="7" t="s">
        <v>421</v>
      </c>
      <c r="B240" s="7" t="s">
        <v>523</v>
      </c>
      <c r="C240" s="7" t="s">
        <v>323</v>
      </c>
      <c r="D240" s="7"/>
      <c r="E240" s="7" t="s">
        <v>329</v>
      </c>
      <c r="F240" s="7" t="s">
        <v>344</v>
      </c>
      <c r="G240" s="7" t="s">
        <v>345</v>
      </c>
      <c r="H240" s="7"/>
      <c r="I240" s="7"/>
    </row>
    <row r="242" customFormat="false" ht="15" hidden="false" customHeight="true" outlineLevel="0" collapsed="false">
      <c r="A242" s="11" t="s">
        <v>524</v>
      </c>
    </row>
    <row r="243" customFormat="false" ht="15" hidden="false" customHeight="true" outlineLevel="0" collapsed="false">
      <c r="A243" s="15" t="s">
        <v>322</v>
      </c>
      <c r="B243" s="15" t="s">
        <v>325</v>
      </c>
      <c r="C243" s="15" t="n">
        <v>2</v>
      </c>
    </row>
    <row r="244" customFormat="false" ht="15" hidden="false" customHeight="true" outlineLevel="0" collapsed="false">
      <c r="A244" s="15" t="s">
        <v>322</v>
      </c>
      <c r="B244" s="15" t="s">
        <v>330</v>
      </c>
      <c r="C244" s="15" t="n">
        <v>15</v>
      </c>
    </row>
    <row r="245" customFormat="false" ht="15" hidden="false" customHeight="true" outlineLevel="0" collapsed="false">
      <c r="A245" s="15" t="s">
        <v>322</v>
      </c>
      <c r="B245" s="15" t="s">
        <v>344</v>
      </c>
      <c r="C245" s="15" t="n">
        <v>16</v>
      </c>
    </row>
    <row r="246" customFormat="false" ht="15" hidden="false" customHeight="true" outlineLevel="0" collapsed="false">
      <c r="A246" s="15" t="s">
        <v>322</v>
      </c>
      <c r="B246" s="15" t="s">
        <v>357</v>
      </c>
      <c r="C246" s="15" t="n">
        <v>1</v>
      </c>
    </row>
    <row r="247" customFormat="false" ht="15" hidden="false" customHeight="true" outlineLevel="0" collapsed="false">
      <c r="A247" s="15" t="s">
        <v>374</v>
      </c>
      <c r="B247" s="15" t="s">
        <v>325</v>
      </c>
      <c r="C247" s="15" t="n">
        <v>2</v>
      </c>
    </row>
    <row r="248" customFormat="false" ht="15" hidden="false" customHeight="true" outlineLevel="0" collapsed="false">
      <c r="A248" s="15" t="s">
        <v>374</v>
      </c>
      <c r="B248" s="15" t="s">
        <v>380</v>
      </c>
      <c r="C248" s="15" t="n">
        <v>1</v>
      </c>
    </row>
    <row r="249" customFormat="false" ht="15" hidden="false" customHeight="true" outlineLevel="0" collapsed="false">
      <c r="A249" s="15" t="s">
        <v>374</v>
      </c>
      <c r="B249" s="15" t="s">
        <v>330</v>
      </c>
      <c r="C249" s="15" t="n">
        <v>29</v>
      </c>
    </row>
    <row r="250" customFormat="false" ht="15" hidden="false" customHeight="true" outlineLevel="0" collapsed="false">
      <c r="A250" s="15" t="s">
        <v>374</v>
      </c>
      <c r="B250" s="15" t="s">
        <v>344</v>
      </c>
      <c r="C250" s="15" t="n">
        <v>22</v>
      </c>
    </row>
    <row r="251" customFormat="false" ht="15" hidden="false" customHeight="true" outlineLevel="0" collapsed="false">
      <c r="A251" s="15" t="s">
        <v>374</v>
      </c>
      <c r="B251" s="15" t="s">
        <v>404</v>
      </c>
      <c r="C251" s="15" t="n">
        <v>3</v>
      </c>
    </row>
    <row r="252" customFormat="false" ht="15" hidden="false" customHeight="true" outlineLevel="0" collapsed="false">
      <c r="A252" s="15" t="s">
        <v>421</v>
      </c>
      <c r="B252" s="15" t="s">
        <v>325</v>
      </c>
      <c r="C252" s="15" t="n">
        <v>2</v>
      </c>
    </row>
    <row r="253" customFormat="false" ht="15" hidden="false" customHeight="true" outlineLevel="0" collapsed="false">
      <c r="A253" s="15" t="s">
        <v>421</v>
      </c>
      <c r="B253" s="15" t="s">
        <v>330</v>
      </c>
      <c r="C253" s="15" t="n">
        <v>8</v>
      </c>
    </row>
    <row r="254" customFormat="false" ht="15" hidden="false" customHeight="true" outlineLevel="0" collapsed="false">
      <c r="A254" s="15" t="s">
        <v>421</v>
      </c>
      <c r="B254" s="15" t="s">
        <v>344</v>
      </c>
      <c r="C254" s="15" t="n">
        <v>136</v>
      </c>
    </row>
    <row r="255" customFormat="false" ht="15" hidden="false" customHeight="true" outlineLevel="0" collapsed="false">
      <c r="A255" s="11" t="s">
        <v>525</v>
      </c>
      <c r="C255" s="1" t="n">
        <v>237</v>
      </c>
    </row>
    <row r="257" customFormat="false" ht="15" hidden="false" customHeight="true" outlineLevel="0" collapsed="false">
      <c r="A257" s="16" t="s">
        <v>526</v>
      </c>
    </row>
  </sheetData>
  <autoFilter ref="A3:J2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38"/>
    <col collapsed="false" customWidth="true" hidden="false" outlineLevel="0" max="4" min="4" style="1" width="20"/>
    <col collapsed="false" customWidth="true" hidden="false" outlineLevel="0" max="5" min="5" style="1" width="28"/>
    <col collapsed="false" customWidth="true" hidden="false" outlineLevel="0" max="6" min="6" style="1" width="9"/>
    <col collapsed="false" customWidth="true" hidden="false" outlineLevel="0" max="8" min="7" style="1" width="22"/>
    <col collapsed="false" customWidth="true" hidden="false" outlineLevel="0" max="9" min="9" style="1" width="14"/>
    <col collapsed="false" customWidth="true" hidden="false" outlineLevel="0" max="10" min="10" style="1" width="22"/>
  </cols>
  <sheetData>
    <row r="1" customFormat="false" ht="15" hidden="false" customHeight="true" outlineLevel="0" collapsed="false">
      <c r="A1" s="4" t="s">
        <v>527</v>
      </c>
      <c r="B1" s="4" t="s">
        <v>528</v>
      </c>
      <c r="C1" s="4" t="s">
        <v>529</v>
      </c>
      <c r="D1" s="4" t="s">
        <v>530</v>
      </c>
      <c r="E1" s="4" t="s">
        <v>531</v>
      </c>
      <c r="F1" s="4" t="s">
        <v>5</v>
      </c>
      <c r="G1" s="4" t="s">
        <v>317</v>
      </c>
      <c r="H1" s="4" t="s">
        <v>532</v>
      </c>
      <c r="I1" s="4" t="s">
        <v>533</v>
      </c>
      <c r="J1" s="4" t="s">
        <v>534</v>
      </c>
    </row>
    <row r="2" customFormat="false" ht="15" hidden="false" customHeight="true" outlineLevel="0" collapsed="false">
      <c r="A2" s="17" t="n">
        <v>469</v>
      </c>
      <c r="B2" s="17" t="s">
        <v>535</v>
      </c>
      <c r="C2" s="17" t="s">
        <v>536</v>
      </c>
      <c r="D2" s="17" t="s">
        <v>537</v>
      </c>
      <c r="E2" s="17" t="s">
        <v>13</v>
      </c>
      <c r="F2" s="17" t="s">
        <v>213</v>
      </c>
      <c r="G2" s="17" t="s">
        <v>325</v>
      </c>
      <c r="H2" s="17" t="s">
        <v>538</v>
      </c>
      <c r="I2" s="17" t="s">
        <v>91</v>
      </c>
      <c r="J2" s="17" t="s">
        <v>539</v>
      </c>
    </row>
    <row r="3" customFormat="false" ht="15" hidden="false" customHeight="true" outlineLevel="0" collapsed="false">
      <c r="A3" s="17" t="n">
        <v>1104</v>
      </c>
      <c r="B3" s="17" t="s">
        <v>540</v>
      </c>
      <c r="C3" s="17" t="s">
        <v>541</v>
      </c>
      <c r="D3" s="17" t="s">
        <v>542</v>
      </c>
      <c r="E3" s="17" t="s">
        <v>13</v>
      </c>
      <c r="F3" s="17" t="s">
        <v>89</v>
      </c>
      <c r="G3" s="17" t="s">
        <v>330</v>
      </c>
      <c r="H3" s="17" t="s">
        <v>331</v>
      </c>
      <c r="I3" s="17" t="s">
        <v>91</v>
      </c>
      <c r="J3" s="17" t="s">
        <v>539</v>
      </c>
    </row>
    <row r="4" customFormat="false" ht="15" hidden="false" customHeight="true" outlineLevel="0" collapsed="false">
      <c r="A4" s="17" t="n">
        <v>708</v>
      </c>
      <c r="B4" s="17" t="s">
        <v>540</v>
      </c>
      <c r="C4" s="17" t="s">
        <v>543</v>
      </c>
      <c r="D4" s="17" t="s">
        <v>544</v>
      </c>
      <c r="E4" s="17" t="s">
        <v>13</v>
      </c>
      <c r="F4" s="17" t="s">
        <v>422</v>
      </c>
      <c r="G4" s="17" t="s">
        <v>545</v>
      </c>
      <c r="H4" s="17" t="s">
        <v>331</v>
      </c>
      <c r="I4" s="17" t="s">
        <v>91</v>
      </c>
      <c r="J4" s="17" t="s">
        <v>539</v>
      </c>
    </row>
    <row r="5" customFormat="false" ht="15" hidden="false" customHeight="true" outlineLevel="0" collapsed="false">
      <c r="A5" s="18" t="n">
        <v>1068</v>
      </c>
      <c r="B5" s="18" t="s">
        <v>540</v>
      </c>
      <c r="C5" s="18" t="s">
        <v>546</v>
      </c>
      <c r="D5" s="18" t="s">
        <v>547</v>
      </c>
      <c r="E5" s="18" t="s">
        <v>13</v>
      </c>
      <c r="F5" s="18" t="s">
        <v>14</v>
      </c>
      <c r="G5" s="18" t="s">
        <v>330</v>
      </c>
      <c r="H5" s="18" t="s">
        <v>331</v>
      </c>
      <c r="I5" s="18" t="s">
        <v>91</v>
      </c>
      <c r="J5" s="18" t="s">
        <v>548</v>
      </c>
    </row>
    <row r="6" customFormat="false" ht="15" hidden="false" customHeight="true" outlineLevel="0" collapsed="false">
      <c r="A6" s="18" t="n">
        <v>1215</v>
      </c>
      <c r="B6" s="18" t="s">
        <v>540</v>
      </c>
      <c r="C6" s="18" t="s">
        <v>549</v>
      </c>
      <c r="D6" s="18" t="s">
        <v>550</v>
      </c>
      <c r="E6" s="18" t="s">
        <v>13</v>
      </c>
      <c r="F6" s="18" t="s">
        <v>20</v>
      </c>
      <c r="G6" s="18" t="s">
        <v>330</v>
      </c>
      <c r="H6" s="18" t="s">
        <v>331</v>
      </c>
      <c r="I6" s="18" t="s">
        <v>91</v>
      </c>
      <c r="J6" s="18" t="s">
        <v>548</v>
      </c>
    </row>
    <row r="7" customFormat="false" ht="15" hidden="false" customHeight="true" outlineLevel="0" collapsed="false">
      <c r="A7" s="18" t="n">
        <v>759</v>
      </c>
      <c r="B7" s="18" t="s">
        <v>540</v>
      </c>
      <c r="C7" s="18" t="s">
        <v>551</v>
      </c>
      <c r="D7" s="18" t="s">
        <v>552</v>
      </c>
      <c r="E7" s="18" t="s">
        <v>13</v>
      </c>
      <c r="F7" s="18" t="s">
        <v>23</v>
      </c>
      <c r="G7" s="18" t="s">
        <v>330</v>
      </c>
      <c r="H7" s="18" t="s">
        <v>331</v>
      </c>
      <c r="I7" s="18" t="s">
        <v>91</v>
      </c>
      <c r="J7" s="18" t="s">
        <v>548</v>
      </c>
    </row>
    <row r="8" customFormat="false" ht="15" hidden="false" customHeight="true" outlineLevel="0" collapsed="false">
      <c r="A8" s="18" t="n">
        <v>910</v>
      </c>
      <c r="B8" s="18" t="s">
        <v>540</v>
      </c>
      <c r="C8" s="18" t="s">
        <v>553</v>
      </c>
      <c r="D8" s="18" t="s">
        <v>554</v>
      </c>
      <c r="E8" s="18" t="s">
        <v>13</v>
      </c>
      <c r="F8" s="18" t="s">
        <v>26</v>
      </c>
      <c r="G8" s="18" t="s">
        <v>330</v>
      </c>
      <c r="H8" s="18" t="s">
        <v>331</v>
      </c>
      <c r="I8" s="18" t="s">
        <v>91</v>
      </c>
      <c r="J8" s="18" t="s">
        <v>548</v>
      </c>
    </row>
    <row r="9" customFormat="false" ht="15" hidden="false" customHeight="true" outlineLevel="0" collapsed="false">
      <c r="A9" s="18" t="n">
        <v>909</v>
      </c>
      <c r="B9" s="18" t="s">
        <v>540</v>
      </c>
      <c r="C9" s="18" t="s">
        <v>555</v>
      </c>
      <c r="D9" s="18" t="s">
        <v>556</v>
      </c>
      <c r="E9" s="18" t="s">
        <v>13</v>
      </c>
      <c r="F9" s="18" t="s">
        <v>29</v>
      </c>
      <c r="G9" s="18" t="s">
        <v>330</v>
      </c>
      <c r="H9" s="18" t="s">
        <v>331</v>
      </c>
      <c r="I9" s="18" t="s">
        <v>91</v>
      </c>
      <c r="J9" s="18" t="s">
        <v>548</v>
      </c>
    </row>
    <row r="10" customFormat="false" ht="15" hidden="false" customHeight="true" outlineLevel="0" collapsed="false">
      <c r="A10" s="18" t="n">
        <v>1204</v>
      </c>
      <c r="B10" s="18" t="s">
        <v>540</v>
      </c>
      <c r="C10" s="18" t="s">
        <v>557</v>
      </c>
      <c r="D10" s="18" t="s">
        <v>558</v>
      </c>
      <c r="E10" s="18" t="s">
        <v>13</v>
      </c>
      <c r="F10" s="18" t="s">
        <v>32</v>
      </c>
      <c r="G10" s="18" t="s">
        <v>330</v>
      </c>
      <c r="H10" s="18" t="s">
        <v>331</v>
      </c>
      <c r="I10" s="18" t="s">
        <v>91</v>
      </c>
      <c r="J10" s="18" t="s">
        <v>548</v>
      </c>
    </row>
    <row r="11" customFormat="false" ht="15" hidden="false" customHeight="true" outlineLevel="0" collapsed="false">
      <c r="A11" s="18" t="n">
        <v>1253</v>
      </c>
      <c r="B11" s="18" t="s">
        <v>540</v>
      </c>
      <c r="C11" s="18" t="s">
        <v>559</v>
      </c>
      <c r="D11" s="18" t="s">
        <v>560</v>
      </c>
      <c r="E11" s="18" t="s">
        <v>13</v>
      </c>
      <c r="F11" s="18" t="s">
        <v>35</v>
      </c>
      <c r="G11" s="18" t="s">
        <v>330</v>
      </c>
      <c r="H11" s="18" t="s">
        <v>331</v>
      </c>
      <c r="I11" s="18" t="s">
        <v>91</v>
      </c>
      <c r="J11" s="18" t="s">
        <v>548</v>
      </c>
    </row>
    <row r="12" customFormat="false" ht="15" hidden="false" customHeight="true" outlineLevel="0" collapsed="false">
      <c r="A12" s="18" t="n">
        <v>957</v>
      </c>
      <c r="B12" s="18" t="s">
        <v>540</v>
      </c>
      <c r="C12" s="18" t="s">
        <v>561</v>
      </c>
      <c r="D12" s="18" t="s">
        <v>562</v>
      </c>
      <c r="E12" s="18" t="s">
        <v>13</v>
      </c>
      <c r="F12" s="18" t="s">
        <v>38</v>
      </c>
      <c r="G12" s="18" t="s">
        <v>330</v>
      </c>
      <c r="H12" s="18" t="s">
        <v>331</v>
      </c>
      <c r="I12" s="18" t="s">
        <v>91</v>
      </c>
      <c r="J12" s="18" t="s">
        <v>548</v>
      </c>
    </row>
    <row r="13" customFormat="false" ht="15" hidden="false" customHeight="true" outlineLevel="0" collapsed="false">
      <c r="A13" s="18" t="n">
        <v>1195</v>
      </c>
      <c r="B13" s="18" t="s">
        <v>540</v>
      </c>
      <c r="C13" s="18" t="s">
        <v>563</v>
      </c>
      <c r="D13" s="18" t="s">
        <v>564</v>
      </c>
      <c r="E13" s="18" t="s">
        <v>13</v>
      </c>
      <c r="F13" s="18" t="s">
        <v>41</v>
      </c>
      <c r="G13" s="18" t="s">
        <v>330</v>
      </c>
      <c r="H13" s="18" t="s">
        <v>331</v>
      </c>
      <c r="I13" s="18" t="s">
        <v>91</v>
      </c>
      <c r="J13" s="18" t="s">
        <v>548</v>
      </c>
    </row>
    <row r="14" customFormat="false" ht="15" hidden="false" customHeight="true" outlineLevel="0" collapsed="false">
      <c r="A14" s="18" t="n">
        <v>1194</v>
      </c>
      <c r="B14" s="18" t="s">
        <v>540</v>
      </c>
      <c r="C14" s="18" t="s">
        <v>565</v>
      </c>
      <c r="D14" s="18" t="s">
        <v>566</v>
      </c>
      <c r="E14" s="18" t="s">
        <v>13</v>
      </c>
      <c r="F14" s="18" t="s">
        <v>45</v>
      </c>
      <c r="G14" s="18" t="s">
        <v>330</v>
      </c>
      <c r="H14" s="18" t="s">
        <v>331</v>
      </c>
      <c r="I14" s="18" t="s">
        <v>91</v>
      </c>
      <c r="J14" s="18" t="s">
        <v>548</v>
      </c>
    </row>
    <row r="15" customFormat="false" ht="15" hidden="false" customHeight="true" outlineLevel="0" collapsed="false">
      <c r="A15" s="18" t="n">
        <v>1176</v>
      </c>
      <c r="B15" s="18" t="s">
        <v>540</v>
      </c>
      <c r="C15" s="18" t="s">
        <v>567</v>
      </c>
      <c r="D15" s="18" t="s">
        <v>568</v>
      </c>
      <c r="E15" s="18" t="s">
        <v>13</v>
      </c>
      <c r="F15" s="18" t="s">
        <v>49</v>
      </c>
      <c r="G15" s="18" t="s">
        <v>330</v>
      </c>
      <c r="H15" s="18" t="s">
        <v>331</v>
      </c>
      <c r="I15" s="18" t="s">
        <v>91</v>
      </c>
      <c r="J15" s="18" t="s">
        <v>548</v>
      </c>
    </row>
    <row r="16" customFormat="false" ht="15" hidden="false" customHeight="true" outlineLevel="0" collapsed="false">
      <c r="A16" s="18" t="n">
        <v>1180</v>
      </c>
      <c r="B16" s="18" t="s">
        <v>540</v>
      </c>
      <c r="C16" s="18" t="s">
        <v>569</v>
      </c>
      <c r="D16" s="18" t="s">
        <v>570</v>
      </c>
      <c r="E16" s="18" t="s">
        <v>13</v>
      </c>
      <c r="F16" s="18" t="s">
        <v>53</v>
      </c>
      <c r="G16" s="18" t="s">
        <v>330</v>
      </c>
      <c r="H16" s="18" t="s">
        <v>331</v>
      </c>
      <c r="I16" s="18" t="s">
        <v>91</v>
      </c>
      <c r="J16" s="18" t="s">
        <v>548</v>
      </c>
    </row>
    <row r="17" customFormat="false" ht="15" hidden="false" customHeight="true" outlineLevel="0" collapsed="false">
      <c r="A17" s="18" t="n">
        <v>1339</v>
      </c>
      <c r="B17" s="18" t="s">
        <v>540</v>
      </c>
      <c r="C17" s="18" t="s">
        <v>571</v>
      </c>
      <c r="D17" s="18" t="s">
        <v>572</v>
      </c>
      <c r="E17" s="18" t="s">
        <v>13</v>
      </c>
      <c r="F17" s="18" t="s">
        <v>56</v>
      </c>
      <c r="G17" s="18" t="s">
        <v>330</v>
      </c>
      <c r="H17" s="18" t="s">
        <v>331</v>
      </c>
      <c r="I17" s="18" t="s">
        <v>91</v>
      </c>
      <c r="J17" s="18" t="s">
        <v>548</v>
      </c>
    </row>
    <row r="18" customFormat="false" ht="15" hidden="false" customHeight="true" outlineLevel="0" collapsed="false">
      <c r="A18" s="17" t="n">
        <v>1223</v>
      </c>
      <c r="B18" s="17" t="s">
        <v>540</v>
      </c>
      <c r="C18" s="17" t="s">
        <v>559</v>
      </c>
      <c r="D18" s="17" t="s">
        <v>573</v>
      </c>
      <c r="E18" s="17" t="s">
        <v>70</v>
      </c>
      <c r="F18" s="17" t="s">
        <v>197</v>
      </c>
      <c r="G18" s="17" t="s">
        <v>330</v>
      </c>
      <c r="H18" s="17" t="s">
        <v>331</v>
      </c>
      <c r="I18" s="17" t="s">
        <v>91</v>
      </c>
      <c r="J18" s="17" t="s">
        <v>539</v>
      </c>
    </row>
    <row r="19" customFormat="false" ht="15" hidden="false" customHeight="true" outlineLevel="0" collapsed="false">
      <c r="A19" s="17" t="n">
        <v>940</v>
      </c>
      <c r="B19" s="17" t="s">
        <v>540</v>
      </c>
      <c r="C19" s="17" t="s">
        <v>561</v>
      </c>
      <c r="D19" s="17" t="s">
        <v>574</v>
      </c>
      <c r="E19" s="17" t="s">
        <v>70</v>
      </c>
      <c r="F19" s="17" t="s">
        <v>89</v>
      </c>
      <c r="G19" s="17" t="s">
        <v>330</v>
      </c>
      <c r="H19" s="17" t="s">
        <v>331</v>
      </c>
      <c r="I19" s="17" t="s">
        <v>91</v>
      </c>
      <c r="J19" s="17" t="s">
        <v>539</v>
      </c>
    </row>
    <row r="20" customFormat="false" ht="15" hidden="false" customHeight="true" outlineLevel="0" collapsed="false">
      <c r="A20" s="17" t="n">
        <v>1281</v>
      </c>
      <c r="B20" s="17" t="s">
        <v>540</v>
      </c>
      <c r="C20" s="17" t="s">
        <v>575</v>
      </c>
      <c r="D20" s="17" t="s">
        <v>576</v>
      </c>
      <c r="E20" s="17" t="s">
        <v>70</v>
      </c>
      <c r="F20" s="17" t="s">
        <v>422</v>
      </c>
      <c r="G20" s="17" t="s">
        <v>330</v>
      </c>
      <c r="H20" s="17" t="s">
        <v>331</v>
      </c>
      <c r="I20" s="17" t="s">
        <v>91</v>
      </c>
      <c r="J20" s="17" t="s">
        <v>539</v>
      </c>
    </row>
    <row r="21" customFormat="false" ht="15" hidden="false" customHeight="true" outlineLevel="0" collapsed="false">
      <c r="A21" s="17" t="n">
        <v>1318</v>
      </c>
      <c r="B21" s="17" t="s">
        <v>540</v>
      </c>
      <c r="C21" s="17" t="s">
        <v>571</v>
      </c>
      <c r="D21" s="17" t="s">
        <v>577</v>
      </c>
      <c r="E21" s="17" t="s">
        <v>70</v>
      </c>
      <c r="F21" s="17" t="s">
        <v>14</v>
      </c>
      <c r="G21" s="17" t="s">
        <v>330</v>
      </c>
      <c r="H21" s="17" t="s">
        <v>331</v>
      </c>
      <c r="I21" s="17" t="s">
        <v>91</v>
      </c>
      <c r="J21" s="17" t="s">
        <v>539</v>
      </c>
    </row>
    <row r="22" customFormat="false" ht="15" hidden="false" customHeight="true" outlineLevel="0" collapsed="false">
      <c r="A22" s="17" t="n">
        <v>705</v>
      </c>
      <c r="B22" s="17" t="s">
        <v>540</v>
      </c>
      <c r="C22" s="17" t="s">
        <v>543</v>
      </c>
      <c r="D22" s="17" t="s">
        <v>578</v>
      </c>
      <c r="E22" s="17" t="s">
        <v>70</v>
      </c>
      <c r="F22" s="17" t="s">
        <v>20</v>
      </c>
      <c r="G22" s="17" t="s">
        <v>545</v>
      </c>
      <c r="H22" s="17" t="s">
        <v>331</v>
      </c>
      <c r="I22" s="17" t="s">
        <v>91</v>
      </c>
      <c r="J22" s="17" t="s">
        <v>539</v>
      </c>
    </row>
    <row r="23" customFormat="false" ht="15" hidden="false" customHeight="true" outlineLevel="0" collapsed="false">
      <c r="A23" s="17" t="n">
        <v>1064</v>
      </c>
      <c r="B23" s="17" t="s">
        <v>540</v>
      </c>
      <c r="C23" s="17" t="s">
        <v>546</v>
      </c>
      <c r="D23" s="17" t="s">
        <v>579</v>
      </c>
      <c r="E23" s="17" t="s">
        <v>70</v>
      </c>
      <c r="F23" s="17" t="s">
        <v>23</v>
      </c>
      <c r="G23" s="17" t="s">
        <v>330</v>
      </c>
      <c r="H23" s="17" t="s">
        <v>331</v>
      </c>
      <c r="I23" s="17" t="s">
        <v>91</v>
      </c>
      <c r="J23" s="17" t="s">
        <v>539</v>
      </c>
    </row>
    <row r="24" customFormat="false" ht="15" hidden="false" customHeight="true" outlineLevel="0" collapsed="false">
      <c r="A24" s="17" t="n">
        <v>454</v>
      </c>
      <c r="B24" s="17" t="s">
        <v>535</v>
      </c>
      <c r="C24" s="17" t="s">
        <v>580</v>
      </c>
      <c r="D24" s="17" t="s">
        <v>581</v>
      </c>
      <c r="E24" s="17" t="s">
        <v>95</v>
      </c>
      <c r="F24" s="17" t="s">
        <v>213</v>
      </c>
      <c r="G24" s="17" t="s">
        <v>325</v>
      </c>
      <c r="H24" s="17" t="s">
        <v>538</v>
      </c>
      <c r="I24" s="17" t="s">
        <v>91</v>
      </c>
      <c r="J24" s="17" t="s">
        <v>539</v>
      </c>
    </row>
    <row r="25" customFormat="false" ht="15" hidden="false" customHeight="true" outlineLevel="0" collapsed="false">
      <c r="A25" s="17" t="n">
        <v>458</v>
      </c>
      <c r="B25" s="17" t="s">
        <v>535</v>
      </c>
      <c r="C25" s="17" t="s">
        <v>582</v>
      </c>
      <c r="D25" s="17" t="s">
        <v>583</v>
      </c>
      <c r="E25" s="17" t="s">
        <v>95</v>
      </c>
      <c r="F25" s="17" t="s">
        <v>197</v>
      </c>
      <c r="G25" s="17" t="s">
        <v>325</v>
      </c>
      <c r="H25" s="17" t="s">
        <v>538</v>
      </c>
      <c r="I25" s="17" t="s">
        <v>91</v>
      </c>
      <c r="J25" s="17" t="s">
        <v>539</v>
      </c>
    </row>
    <row r="26" customFormat="false" ht="15" hidden="false" customHeight="true" outlineLevel="0" collapsed="false">
      <c r="A26" s="17" t="n">
        <v>456</v>
      </c>
      <c r="B26" s="17" t="s">
        <v>535</v>
      </c>
      <c r="C26" s="17" t="s">
        <v>584</v>
      </c>
      <c r="D26" s="17" t="s">
        <v>585</v>
      </c>
      <c r="E26" s="17" t="s">
        <v>95</v>
      </c>
      <c r="F26" s="17" t="s">
        <v>93</v>
      </c>
      <c r="G26" s="17" t="s">
        <v>325</v>
      </c>
      <c r="H26" s="17" t="s">
        <v>538</v>
      </c>
      <c r="I26" s="17" t="s">
        <v>91</v>
      </c>
      <c r="J26" s="17" t="s">
        <v>539</v>
      </c>
    </row>
    <row r="27" customFormat="false" ht="15" hidden="false" customHeight="true" outlineLevel="0" collapsed="false">
      <c r="A27" s="17" t="n">
        <v>455</v>
      </c>
      <c r="B27" s="17" t="s">
        <v>535</v>
      </c>
      <c r="C27" s="17" t="s">
        <v>586</v>
      </c>
      <c r="D27" s="17" t="s">
        <v>587</v>
      </c>
      <c r="E27" s="17" t="s">
        <v>95</v>
      </c>
      <c r="F27" s="17" t="s">
        <v>89</v>
      </c>
      <c r="G27" s="17" t="s">
        <v>325</v>
      </c>
      <c r="H27" s="17" t="s">
        <v>538</v>
      </c>
      <c r="I27" s="17" t="s">
        <v>91</v>
      </c>
      <c r="J27" s="17" t="s">
        <v>539</v>
      </c>
    </row>
    <row r="28" customFormat="false" ht="15" hidden="false" customHeight="true" outlineLevel="0" collapsed="false">
      <c r="A28" s="17" t="n">
        <v>459</v>
      </c>
      <c r="B28" s="17" t="s">
        <v>535</v>
      </c>
      <c r="C28" s="17" t="s">
        <v>588</v>
      </c>
      <c r="D28" s="17" t="s">
        <v>589</v>
      </c>
      <c r="E28" s="17" t="s">
        <v>95</v>
      </c>
      <c r="F28" s="17" t="s">
        <v>422</v>
      </c>
      <c r="G28" s="17" t="s">
        <v>325</v>
      </c>
      <c r="H28" s="17" t="s">
        <v>538</v>
      </c>
      <c r="I28" s="17" t="s">
        <v>91</v>
      </c>
      <c r="J28" s="17" t="s">
        <v>539</v>
      </c>
    </row>
    <row r="29" customFormat="false" ht="15" hidden="false" customHeight="true" outlineLevel="0" collapsed="false">
      <c r="A29" s="17" t="n">
        <v>493</v>
      </c>
      <c r="B29" s="17" t="s">
        <v>535</v>
      </c>
      <c r="C29" s="17" t="s">
        <v>590</v>
      </c>
      <c r="D29" s="17" t="s">
        <v>591</v>
      </c>
      <c r="E29" s="17" t="s">
        <v>95</v>
      </c>
      <c r="F29" s="17" t="s">
        <v>14</v>
      </c>
      <c r="G29" s="17" t="s">
        <v>325</v>
      </c>
      <c r="H29" s="17" t="s">
        <v>538</v>
      </c>
      <c r="I29" s="17" t="s">
        <v>592</v>
      </c>
      <c r="J29" s="17" t="s">
        <v>539</v>
      </c>
    </row>
    <row r="30" customFormat="false" ht="15" hidden="false" customHeight="true" outlineLevel="0" collapsed="false">
      <c r="A30" s="17" t="n">
        <v>463</v>
      </c>
      <c r="B30" s="17" t="s">
        <v>535</v>
      </c>
      <c r="C30" s="17" t="s">
        <v>593</v>
      </c>
      <c r="D30" s="17" t="s">
        <v>594</v>
      </c>
      <c r="E30" s="17" t="s">
        <v>95</v>
      </c>
      <c r="F30" s="17" t="s">
        <v>20</v>
      </c>
      <c r="G30" s="17" t="s">
        <v>325</v>
      </c>
      <c r="H30" s="17" t="s">
        <v>538</v>
      </c>
      <c r="I30" s="17" t="s">
        <v>91</v>
      </c>
      <c r="J30" s="17" t="s">
        <v>539</v>
      </c>
    </row>
    <row r="31" customFormat="false" ht="15" hidden="false" customHeight="true" outlineLevel="0" collapsed="false">
      <c r="A31" s="17" t="n">
        <v>461</v>
      </c>
      <c r="B31" s="17" t="s">
        <v>535</v>
      </c>
      <c r="C31" s="17" t="s">
        <v>595</v>
      </c>
      <c r="D31" s="17" t="s">
        <v>596</v>
      </c>
      <c r="E31" s="17" t="s">
        <v>95</v>
      </c>
      <c r="F31" s="17" t="s">
        <v>23</v>
      </c>
      <c r="G31" s="17" t="s">
        <v>325</v>
      </c>
      <c r="H31" s="17" t="s">
        <v>538</v>
      </c>
      <c r="I31" s="17" t="s">
        <v>91</v>
      </c>
      <c r="J31" s="17" t="s">
        <v>539</v>
      </c>
    </row>
    <row r="32" customFormat="false" ht="15" hidden="false" customHeight="true" outlineLevel="0" collapsed="false">
      <c r="A32" s="17" t="n">
        <v>494</v>
      </c>
      <c r="B32" s="17" t="s">
        <v>535</v>
      </c>
      <c r="C32" s="17" t="s">
        <v>597</v>
      </c>
      <c r="D32" s="17" t="s">
        <v>598</v>
      </c>
      <c r="E32" s="17" t="s">
        <v>95</v>
      </c>
      <c r="F32" s="17" t="s">
        <v>71</v>
      </c>
      <c r="G32" s="17" t="s">
        <v>325</v>
      </c>
      <c r="H32" s="17" t="s">
        <v>538</v>
      </c>
      <c r="I32" s="17" t="s">
        <v>91</v>
      </c>
      <c r="J32" s="17" t="s">
        <v>539</v>
      </c>
    </row>
    <row r="33" customFormat="false" ht="15" hidden="false" customHeight="true" outlineLevel="0" collapsed="false">
      <c r="A33" s="17" t="n">
        <v>460</v>
      </c>
      <c r="B33" s="17" t="s">
        <v>535</v>
      </c>
      <c r="C33" s="17" t="s">
        <v>599</v>
      </c>
      <c r="D33" s="17" t="s">
        <v>600</v>
      </c>
      <c r="E33" s="17" t="s">
        <v>95</v>
      </c>
      <c r="F33" s="17" t="s">
        <v>26</v>
      </c>
      <c r="G33" s="17" t="s">
        <v>325</v>
      </c>
      <c r="H33" s="17" t="s">
        <v>538</v>
      </c>
      <c r="I33" s="17" t="s">
        <v>91</v>
      </c>
      <c r="J33" s="17" t="s">
        <v>539</v>
      </c>
    </row>
    <row r="34" customFormat="false" ht="15" hidden="false" customHeight="true" outlineLevel="0" collapsed="false">
      <c r="A34" s="17" t="n">
        <v>457</v>
      </c>
      <c r="B34" s="17" t="s">
        <v>535</v>
      </c>
      <c r="C34" s="17" t="s">
        <v>601</v>
      </c>
      <c r="D34" s="17" t="s">
        <v>602</v>
      </c>
      <c r="E34" s="17" t="s">
        <v>95</v>
      </c>
      <c r="F34" s="17" t="s">
        <v>29</v>
      </c>
      <c r="G34" s="17" t="s">
        <v>325</v>
      </c>
      <c r="H34" s="17" t="s">
        <v>538</v>
      </c>
      <c r="I34" s="17" t="s">
        <v>91</v>
      </c>
      <c r="J34" s="17" t="s">
        <v>539</v>
      </c>
    </row>
    <row r="35" customFormat="false" ht="15" hidden="false" customHeight="true" outlineLevel="0" collapsed="false">
      <c r="A35" s="17" t="n">
        <v>1320</v>
      </c>
      <c r="B35" s="17" t="s">
        <v>540</v>
      </c>
      <c r="C35" s="17" t="s">
        <v>571</v>
      </c>
      <c r="D35" s="17" t="s">
        <v>603</v>
      </c>
      <c r="E35" s="17" t="s">
        <v>95</v>
      </c>
      <c r="F35" s="17" t="s">
        <v>35</v>
      </c>
      <c r="G35" s="17" t="s">
        <v>330</v>
      </c>
      <c r="H35" s="17" t="s">
        <v>331</v>
      </c>
      <c r="I35" s="17" t="s">
        <v>91</v>
      </c>
      <c r="J35" s="17" t="s">
        <v>539</v>
      </c>
    </row>
    <row r="36" customFormat="false" ht="15" hidden="false" customHeight="true" outlineLevel="0" collapsed="false">
      <c r="A36" s="17" t="n">
        <v>1242</v>
      </c>
      <c r="B36" s="17" t="s">
        <v>540</v>
      </c>
      <c r="C36" s="17" t="s">
        <v>559</v>
      </c>
      <c r="D36" s="17" t="s">
        <v>604</v>
      </c>
      <c r="E36" s="17" t="s">
        <v>95</v>
      </c>
      <c r="F36" s="17" t="s">
        <v>38</v>
      </c>
      <c r="G36" s="17" t="s">
        <v>330</v>
      </c>
      <c r="H36" s="17" t="s">
        <v>331</v>
      </c>
      <c r="I36" s="17" t="s">
        <v>91</v>
      </c>
      <c r="J36" s="17" t="s">
        <v>539</v>
      </c>
    </row>
    <row r="37" customFormat="false" ht="15" hidden="false" customHeight="true" outlineLevel="0" collapsed="false">
      <c r="A37" s="17" t="n">
        <v>971</v>
      </c>
      <c r="B37" s="17" t="s">
        <v>540</v>
      </c>
      <c r="C37" s="17" t="s">
        <v>561</v>
      </c>
      <c r="D37" s="17" t="s">
        <v>605</v>
      </c>
      <c r="E37" s="17" t="s">
        <v>95</v>
      </c>
      <c r="F37" s="17" t="s">
        <v>41</v>
      </c>
      <c r="G37" s="17" t="s">
        <v>330</v>
      </c>
      <c r="H37" s="17" t="s">
        <v>331</v>
      </c>
      <c r="I37" s="17" t="s">
        <v>91</v>
      </c>
      <c r="J37" s="17" t="s">
        <v>539</v>
      </c>
    </row>
    <row r="38" customFormat="false" ht="15" hidden="false" customHeight="true" outlineLevel="0" collapsed="false">
      <c r="A38" s="17" t="n">
        <v>1325</v>
      </c>
      <c r="B38" s="17" t="s">
        <v>540</v>
      </c>
      <c r="C38" s="17" t="s">
        <v>571</v>
      </c>
      <c r="D38" s="17" t="s">
        <v>606</v>
      </c>
      <c r="E38" s="17" t="s">
        <v>95</v>
      </c>
      <c r="F38" s="17" t="s">
        <v>45</v>
      </c>
      <c r="G38" s="17" t="s">
        <v>330</v>
      </c>
      <c r="H38" s="17" t="s">
        <v>331</v>
      </c>
      <c r="I38" s="17" t="s">
        <v>91</v>
      </c>
      <c r="J38" s="17" t="s">
        <v>539</v>
      </c>
    </row>
    <row r="39" customFormat="false" ht="15" hidden="false" customHeight="true" outlineLevel="0" collapsed="false">
      <c r="A39" s="17" t="n">
        <v>1238</v>
      </c>
      <c r="B39" s="17" t="s">
        <v>540</v>
      </c>
      <c r="C39" s="17" t="s">
        <v>559</v>
      </c>
      <c r="D39" s="17" t="s">
        <v>607</v>
      </c>
      <c r="E39" s="17" t="s">
        <v>95</v>
      </c>
      <c r="F39" s="17" t="s">
        <v>49</v>
      </c>
      <c r="G39" s="17" t="s">
        <v>330</v>
      </c>
      <c r="H39" s="17" t="s">
        <v>331</v>
      </c>
      <c r="I39" s="17" t="s">
        <v>91</v>
      </c>
      <c r="J39" s="17" t="s">
        <v>539</v>
      </c>
    </row>
    <row r="40" customFormat="false" ht="15" hidden="false" customHeight="true" outlineLevel="0" collapsed="false">
      <c r="A40" s="17" t="n">
        <v>974</v>
      </c>
      <c r="B40" s="17" t="s">
        <v>540</v>
      </c>
      <c r="C40" s="17" t="s">
        <v>561</v>
      </c>
      <c r="D40" s="17" t="s">
        <v>608</v>
      </c>
      <c r="E40" s="17" t="s">
        <v>95</v>
      </c>
      <c r="F40" s="17" t="s">
        <v>53</v>
      </c>
      <c r="G40" s="17" t="s">
        <v>330</v>
      </c>
      <c r="H40" s="17" t="s">
        <v>331</v>
      </c>
      <c r="I40" s="17" t="s">
        <v>91</v>
      </c>
      <c r="J40" s="17" t="s">
        <v>539</v>
      </c>
    </row>
    <row r="41" customFormat="false" ht="15" hidden="false" customHeight="true" outlineLevel="0" collapsed="false">
      <c r="A41" s="17" t="n">
        <v>1327</v>
      </c>
      <c r="B41" s="17" t="s">
        <v>540</v>
      </c>
      <c r="C41" s="17" t="s">
        <v>571</v>
      </c>
      <c r="D41" s="17" t="s">
        <v>609</v>
      </c>
      <c r="E41" s="17" t="s">
        <v>95</v>
      </c>
      <c r="F41" s="17" t="s">
        <v>610</v>
      </c>
      <c r="G41" s="17" t="s">
        <v>330</v>
      </c>
      <c r="H41" s="17" t="s">
        <v>331</v>
      </c>
      <c r="I41" s="17" t="s">
        <v>91</v>
      </c>
      <c r="J41" s="17" t="s">
        <v>539</v>
      </c>
    </row>
    <row r="42" customFormat="false" ht="15" hidden="false" customHeight="true" outlineLevel="0" collapsed="false">
      <c r="A42" s="17" t="n">
        <v>1251</v>
      </c>
      <c r="B42" s="17" t="s">
        <v>540</v>
      </c>
      <c r="C42" s="17" t="s">
        <v>559</v>
      </c>
      <c r="D42" s="17" t="s">
        <v>611</v>
      </c>
      <c r="E42" s="17" t="s">
        <v>95</v>
      </c>
      <c r="F42" s="17" t="s">
        <v>56</v>
      </c>
      <c r="G42" s="17" t="s">
        <v>330</v>
      </c>
      <c r="H42" s="17" t="s">
        <v>331</v>
      </c>
      <c r="I42" s="17" t="s">
        <v>91</v>
      </c>
      <c r="J42" s="17" t="s">
        <v>539</v>
      </c>
    </row>
    <row r="43" customFormat="false" ht="15" hidden="false" customHeight="true" outlineLevel="0" collapsed="false">
      <c r="A43" s="17" t="n">
        <v>970</v>
      </c>
      <c r="B43" s="17" t="s">
        <v>540</v>
      </c>
      <c r="C43" s="17" t="s">
        <v>561</v>
      </c>
      <c r="D43" s="17" t="s">
        <v>612</v>
      </c>
      <c r="E43" s="17" t="s">
        <v>95</v>
      </c>
      <c r="F43" s="17" t="s">
        <v>86</v>
      </c>
      <c r="G43" s="17" t="s">
        <v>330</v>
      </c>
      <c r="H43" s="17" t="s">
        <v>331</v>
      </c>
      <c r="I43" s="17" t="s">
        <v>91</v>
      </c>
      <c r="J43" s="17" t="s">
        <v>539</v>
      </c>
    </row>
    <row r="44" customFormat="false" ht="15" hidden="false" customHeight="true" outlineLevel="0" collapsed="false">
      <c r="A44" s="17" t="n">
        <v>1329</v>
      </c>
      <c r="B44" s="17" t="s">
        <v>540</v>
      </c>
      <c r="C44" s="17" t="s">
        <v>571</v>
      </c>
      <c r="D44" s="17" t="s">
        <v>613</v>
      </c>
      <c r="E44" s="17" t="s">
        <v>95</v>
      </c>
      <c r="F44" s="17" t="s">
        <v>614</v>
      </c>
      <c r="G44" s="17" t="s">
        <v>330</v>
      </c>
      <c r="H44" s="17" t="s">
        <v>331</v>
      </c>
      <c r="I44" s="17" t="s">
        <v>91</v>
      </c>
      <c r="J44" s="17" t="s">
        <v>539</v>
      </c>
    </row>
    <row r="45" customFormat="false" ht="15" hidden="false" customHeight="true" outlineLevel="0" collapsed="false">
      <c r="A45" s="17" t="n">
        <v>1334</v>
      </c>
      <c r="B45" s="17" t="s">
        <v>540</v>
      </c>
      <c r="C45" s="17" t="s">
        <v>571</v>
      </c>
      <c r="D45" s="17" t="s">
        <v>615</v>
      </c>
      <c r="E45" s="17" t="s">
        <v>95</v>
      </c>
      <c r="F45" s="17" t="s">
        <v>616</v>
      </c>
      <c r="G45" s="17" t="s">
        <v>330</v>
      </c>
      <c r="H45" s="17" t="s">
        <v>331</v>
      </c>
      <c r="I45" s="17" t="s">
        <v>91</v>
      </c>
      <c r="J45" s="17" t="s">
        <v>539</v>
      </c>
    </row>
    <row r="46" customFormat="false" ht="15" hidden="false" customHeight="true" outlineLevel="0" collapsed="false">
      <c r="A46" s="17" t="n">
        <v>983</v>
      </c>
      <c r="B46" s="17" t="s">
        <v>540</v>
      </c>
      <c r="C46" s="17" t="s">
        <v>561</v>
      </c>
      <c r="D46" s="17" t="s">
        <v>617</v>
      </c>
      <c r="E46" s="17" t="s">
        <v>95</v>
      </c>
      <c r="F46" s="17" t="s">
        <v>618</v>
      </c>
      <c r="G46" s="17" t="s">
        <v>330</v>
      </c>
      <c r="H46" s="17" t="s">
        <v>331</v>
      </c>
      <c r="I46" s="17" t="s">
        <v>91</v>
      </c>
      <c r="J46" s="17" t="s">
        <v>539</v>
      </c>
    </row>
    <row r="47" customFormat="false" ht="15" hidden="false" customHeight="true" outlineLevel="0" collapsed="false">
      <c r="A47" s="17" t="n">
        <v>1245</v>
      </c>
      <c r="B47" s="17" t="s">
        <v>540</v>
      </c>
      <c r="C47" s="17" t="s">
        <v>559</v>
      </c>
      <c r="D47" s="17" t="s">
        <v>619</v>
      </c>
      <c r="E47" s="17" t="s">
        <v>95</v>
      </c>
      <c r="F47" s="17" t="s">
        <v>620</v>
      </c>
      <c r="G47" s="17" t="s">
        <v>330</v>
      </c>
      <c r="H47" s="17" t="s">
        <v>331</v>
      </c>
      <c r="I47" s="17" t="s">
        <v>91</v>
      </c>
      <c r="J47" s="17" t="s">
        <v>539</v>
      </c>
    </row>
    <row r="48" customFormat="false" ht="15" hidden="false" customHeight="true" outlineLevel="0" collapsed="false">
      <c r="A48" s="17" t="n">
        <v>1241</v>
      </c>
      <c r="B48" s="17" t="s">
        <v>540</v>
      </c>
      <c r="C48" s="17" t="s">
        <v>559</v>
      </c>
      <c r="D48" s="17" t="s">
        <v>621</v>
      </c>
      <c r="E48" s="17" t="s">
        <v>95</v>
      </c>
      <c r="F48" s="17" t="s">
        <v>622</v>
      </c>
      <c r="G48" s="17" t="s">
        <v>330</v>
      </c>
      <c r="H48" s="17" t="s">
        <v>331</v>
      </c>
      <c r="I48" s="17" t="s">
        <v>91</v>
      </c>
      <c r="J48" s="17" t="s">
        <v>539</v>
      </c>
    </row>
    <row r="49" customFormat="false" ht="15" hidden="false" customHeight="true" outlineLevel="0" collapsed="false">
      <c r="A49" s="17" t="n">
        <v>986</v>
      </c>
      <c r="B49" s="17" t="s">
        <v>540</v>
      </c>
      <c r="C49" s="17" t="s">
        <v>561</v>
      </c>
      <c r="D49" s="17" t="s">
        <v>623</v>
      </c>
      <c r="E49" s="17" t="s">
        <v>95</v>
      </c>
      <c r="F49" s="17" t="s">
        <v>624</v>
      </c>
      <c r="G49" s="17" t="s">
        <v>330</v>
      </c>
      <c r="H49" s="17" t="s">
        <v>331</v>
      </c>
      <c r="I49" s="17" t="s">
        <v>91</v>
      </c>
      <c r="J49" s="17" t="s">
        <v>539</v>
      </c>
    </row>
    <row r="50" customFormat="false" ht="15" hidden="false" customHeight="true" outlineLevel="0" collapsed="false">
      <c r="A50" s="17" t="n">
        <v>1336</v>
      </c>
      <c r="B50" s="17" t="s">
        <v>540</v>
      </c>
      <c r="C50" s="17" t="s">
        <v>571</v>
      </c>
      <c r="D50" s="17" t="s">
        <v>625</v>
      </c>
      <c r="E50" s="17" t="s">
        <v>95</v>
      </c>
      <c r="F50" s="17" t="s">
        <v>137</v>
      </c>
      <c r="G50" s="17" t="s">
        <v>330</v>
      </c>
      <c r="H50" s="17" t="s">
        <v>331</v>
      </c>
      <c r="I50" s="17" t="s">
        <v>91</v>
      </c>
      <c r="J50" s="17" t="s">
        <v>539</v>
      </c>
    </row>
    <row r="51" customFormat="false" ht="15" hidden="false" customHeight="true" outlineLevel="0" collapsed="false">
      <c r="A51" s="17" t="n">
        <v>1337</v>
      </c>
      <c r="B51" s="17" t="s">
        <v>540</v>
      </c>
      <c r="C51" s="17" t="s">
        <v>571</v>
      </c>
      <c r="D51" s="17" t="s">
        <v>626</v>
      </c>
      <c r="E51" s="17" t="s">
        <v>95</v>
      </c>
      <c r="F51" s="17" t="s">
        <v>627</v>
      </c>
      <c r="G51" s="17" t="s">
        <v>330</v>
      </c>
      <c r="H51" s="17" t="s">
        <v>331</v>
      </c>
      <c r="I51" s="17" t="s">
        <v>91</v>
      </c>
      <c r="J51" s="17" t="s">
        <v>539</v>
      </c>
    </row>
    <row r="52" customFormat="false" ht="15" hidden="false" customHeight="true" outlineLevel="0" collapsed="false">
      <c r="A52" s="17" t="n">
        <v>976</v>
      </c>
      <c r="B52" s="17" t="s">
        <v>540</v>
      </c>
      <c r="C52" s="17" t="s">
        <v>561</v>
      </c>
      <c r="D52" s="17" t="s">
        <v>628</v>
      </c>
      <c r="E52" s="17" t="s">
        <v>95</v>
      </c>
      <c r="F52" s="17" t="s">
        <v>423</v>
      </c>
      <c r="G52" s="17" t="s">
        <v>330</v>
      </c>
      <c r="H52" s="17" t="s">
        <v>331</v>
      </c>
      <c r="I52" s="17" t="s">
        <v>91</v>
      </c>
      <c r="J52" s="17" t="s">
        <v>539</v>
      </c>
    </row>
    <row r="53" customFormat="false" ht="15" hidden="false" customHeight="true" outlineLevel="0" collapsed="false">
      <c r="A53" s="17" t="n">
        <v>1244</v>
      </c>
      <c r="B53" s="17" t="s">
        <v>540</v>
      </c>
      <c r="C53" s="17" t="s">
        <v>559</v>
      </c>
      <c r="D53" s="17" t="s">
        <v>629</v>
      </c>
      <c r="E53" s="17" t="s">
        <v>95</v>
      </c>
      <c r="F53" s="17" t="s">
        <v>163</v>
      </c>
      <c r="G53" s="17" t="s">
        <v>330</v>
      </c>
      <c r="H53" s="17" t="s">
        <v>331</v>
      </c>
      <c r="I53" s="17" t="s">
        <v>91</v>
      </c>
      <c r="J53" s="17" t="s">
        <v>539</v>
      </c>
    </row>
    <row r="54" customFormat="false" ht="15" hidden="false" customHeight="true" outlineLevel="0" collapsed="false">
      <c r="A54" s="17" t="n">
        <v>1239</v>
      </c>
      <c r="B54" s="17" t="s">
        <v>540</v>
      </c>
      <c r="C54" s="17" t="s">
        <v>559</v>
      </c>
      <c r="D54" s="17" t="s">
        <v>630</v>
      </c>
      <c r="E54" s="17" t="s">
        <v>95</v>
      </c>
      <c r="F54" s="17" t="s">
        <v>376</v>
      </c>
      <c r="G54" s="17" t="s">
        <v>330</v>
      </c>
      <c r="H54" s="17" t="s">
        <v>331</v>
      </c>
      <c r="I54" s="17" t="s">
        <v>91</v>
      </c>
      <c r="J54" s="17" t="s">
        <v>539</v>
      </c>
    </row>
    <row r="55" customFormat="false" ht="15" hidden="false" customHeight="true" outlineLevel="0" collapsed="false">
      <c r="A55" s="17" t="n">
        <v>978</v>
      </c>
      <c r="B55" s="17" t="s">
        <v>540</v>
      </c>
      <c r="C55" s="17" t="s">
        <v>561</v>
      </c>
      <c r="D55" s="17" t="s">
        <v>631</v>
      </c>
      <c r="E55" s="17" t="s">
        <v>95</v>
      </c>
      <c r="F55" s="17" t="s">
        <v>424</v>
      </c>
      <c r="G55" s="17" t="s">
        <v>330</v>
      </c>
      <c r="H55" s="17" t="s">
        <v>331</v>
      </c>
      <c r="I55" s="17" t="s">
        <v>91</v>
      </c>
      <c r="J55" s="17" t="s">
        <v>539</v>
      </c>
    </row>
    <row r="56" customFormat="false" ht="15" hidden="false" customHeight="true" outlineLevel="0" collapsed="false">
      <c r="A56" s="17" t="n">
        <v>890</v>
      </c>
      <c r="B56" s="17" t="s">
        <v>540</v>
      </c>
      <c r="C56" s="17" t="s">
        <v>632</v>
      </c>
      <c r="D56" s="17" t="s">
        <v>633</v>
      </c>
      <c r="E56" s="17" t="s">
        <v>95</v>
      </c>
      <c r="F56" s="17" t="s">
        <v>195</v>
      </c>
      <c r="G56" s="17" t="s">
        <v>330</v>
      </c>
      <c r="H56" s="17" t="s">
        <v>331</v>
      </c>
      <c r="I56" s="17" t="s">
        <v>91</v>
      </c>
      <c r="J56" s="17" t="s">
        <v>539</v>
      </c>
    </row>
    <row r="57" customFormat="false" ht="15" hidden="false" customHeight="true" outlineLevel="0" collapsed="false">
      <c r="A57" s="17" t="n">
        <v>892</v>
      </c>
      <c r="B57" s="17" t="s">
        <v>540</v>
      </c>
      <c r="C57" s="17" t="s">
        <v>632</v>
      </c>
      <c r="D57" s="17" t="s">
        <v>634</v>
      </c>
      <c r="E57" s="17" t="s">
        <v>95</v>
      </c>
      <c r="F57" s="17" t="s">
        <v>426</v>
      </c>
      <c r="G57" s="17" t="s">
        <v>330</v>
      </c>
      <c r="H57" s="17" t="s">
        <v>331</v>
      </c>
      <c r="I57" s="17" t="s">
        <v>91</v>
      </c>
      <c r="J57" s="17" t="s">
        <v>539</v>
      </c>
    </row>
    <row r="58" customFormat="false" ht="15" hidden="false" customHeight="true" outlineLevel="0" collapsed="false">
      <c r="A58" s="17" t="n">
        <v>1458</v>
      </c>
      <c r="B58" s="17" t="s">
        <v>635</v>
      </c>
      <c r="C58" s="17" t="s">
        <v>636</v>
      </c>
      <c r="D58" s="17" t="s">
        <v>637</v>
      </c>
      <c r="E58" s="17" t="s">
        <v>95</v>
      </c>
      <c r="F58" s="17" t="s">
        <v>638</v>
      </c>
      <c r="G58" s="17" t="s">
        <v>380</v>
      </c>
      <c r="H58" s="17" t="s">
        <v>381</v>
      </c>
      <c r="I58" s="17" t="s">
        <v>592</v>
      </c>
      <c r="J58" s="17" t="s">
        <v>539</v>
      </c>
    </row>
    <row r="59" customFormat="false" ht="15" hidden="false" customHeight="true" outlineLevel="0" collapsed="false">
      <c r="A59" s="17" t="n">
        <v>1459</v>
      </c>
      <c r="B59" s="17" t="s">
        <v>635</v>
      </c>
      <c r="C59" s="17" t="s">
        <v>639</v>
      </c>
      <c r="D59" s="17" t="s">
        <v>640</v>
      </c>
      <c r="E59" s="17" t="s">
        <v>95</v>
      </c>
      <c r="F59" s="17" t="s">
        <v>641</v>
      </c>
      <c r="G59" s="17" t="s">
        <v>380</v>
      </c>
      <c r="H59" s="17" t="s">
        <v>381</v>
      </c>
      <c r="I59" s="17" t="s">
        <v>592</v>
      </c>
      <c r="J59" s="17" t="s">
        <v>539</v>
      </c>
    </row>
    <row r="60" customFormat="false" ht="15" hidden="false" customHeight="true" outlineLevel="0" collapsed="false">
      <c r="A60" s="17" t="n">
        <v>1447</v>
      </c>
      <c r="B60" s="17" t="s">
        <v>635</v>
      </c>
      <c r="C60" s="17" t="s">
        <v>642</v>
      </c>
      <c r="D60" s="17" t="s">
        <v>643</v>
      </c>
      <c r="E60" s="17" t="s">
        <v>95</v>
      </c>
      <c r="F60" s="17" t="s">
        <v>644</v>
      </c>
      <c r="G60" s="17" t="s">
        <v>380</v>
      </c>
      <c r="H60" s="17" t="s">
        <v>381</v>
      </c>
      <c r="I60" s="17" t="s">
        <v>592</v>
      </c>
      <c r="J60" s="17" t="s">
        <v>539</v>
      </c>
    </row>
    <row r="61" customFormat="false" ht="15" hidden="false" customHeight="true" outlineLevel="0" collapsed="false">
      <c r="A61" s="17" t="n">
        <v>1450</v>
      </c>
      <c r="B61" s="17" t="s">
        <v>635</v>
      </c>
      <c r="C61" s="17" t="s">
        <v>645</v>
      </c>
      <c r="D61" s="17" t="s">
        <v>646</v>
      </c>
      <c r="E61" s="17" t="s">
        <v>95</v>
      </c>
      <c r="F61" s="17" t="s">
        <v>434</v>
      </c>
      <c r="G61" s="17" t="s">
        <v>380</v>
      </c>
      <c r="H61" s="17" t="s">
        <v>381</v>
      </c>
      <c r="I61" s="17" t="s">
        <v>592</v>
      </c>
      <c r="J61" s="17" t="s">
        <v>539</v>
      </c>
    </row>
    <row r="62" customFormat="false" ht="15" hidden="false" customHeight="true" outlineLevel="0" collapsed="false">
      <c r="A62" s="17" t="n">
        <v>1457</v>
      </c>
      <c r="B62" s="17" t="s">
        <v>635</v>
      </c>
      <c r="C62" s="17" t="s">
        <v>647</v>
      </c>
      <c r="D62" s="17" t="s">
        <v>648</v>
      </c>
      <c r="E62" s="17" t="s">
        <v>95</v>
      </c>
      <c r="F62" s="17" t="s">
        <v>435</v>
      </c>
      <c r="G62" s="17" t="s">
        <v>380</v>
      </c>
      <c r="H62" s="17" t="s">
        <v>381</v>
      </c>
      <c r="I62" s="17" t="s">
        <v>592</v>
      </c>
      <c r="J62" s="17" t="s">
        <v>539</v>
      </c>
    </row>
    <row r="63" customFormat="false" ht="15" hidden="false" customHeight="true" outlineLevel="0" collapsed="false">
      <c r="A63" s="17" t="n">
        <v>1446</v>
      </c>
      <c r="B63" s="17" t="s">
        <v>635</v>
      </c>
      <c r="C63" s="17" t="s">
        <v>649</v>
      </c>
      <c r="D63" s="17" t="s">
        <v>650</v>
      </c>
      <c r="E63" s="17" t="s">
        <v>95</v>
      </c>
      <c r="F63" s="17" t="s">
        <v>436</v>
      </c>
      <c r="G63" s="17" t="s">
        <v>380</v>
      </c>
      <c r="H63" s="17" t="s">
        <v>381</v>
      </c>
      <c r="I63" s="17" t="s">
        <v>592</v>
      </c>
      <c r="J63" s="17" t="s">
        <v>539</v>
      </c>
    </row>
    <row r="64" customFormat="false" ht="15" hidden="false" customHeight="true" outlineLevel="0" collapsed="false">
      <c r="A64" s="17" t="n">
        <v>1455</v>
      </c>
      <c r="B64" s="17" t="s">
        <v>635</v>
      </c>
      <c r="C64" s="17" t="s">
        <v>651</v>
      </c>
      <c r="D64" s="17" t="s">
        <v>652</v>
      </c>
      <c r="E64" s="17" t="s">
        <v>95</v>
      </c>
      <c r="F64" s="17" t="s">
        <v>437</v>
      </c>
      <c r="G64" s="17" t="s">
        <v>380</v>
      </c>
      <c r="H64" s="17" t="s">
        <v>381</v>
      </c>
      <c r="I64" s="17" t="s">
        <v>592</v>
      </c>
      <c r="J64" s="17" t="s">
        <v>539</v>
      </c>
    </row>
    <row r="65" customFormat="false" ht="15" hidden="false" customHeight="true" outlineLevel="0" collapsed="false">
      <c r="A65" s="17" t="n">
        <v>1174</v>
      </c>
      <c r="B65" s="17" t="s">
        <v>540</v>
      </c>
      <c r="C65" s="17" t="s">
        <v>653</v>
      </c>
      <c r="D65" s="17" t="s">
        <v>654</v>
      </c>
      <c r="E65" s="17" t="s">
        <v>95</v>
      </c>
      <c r="F65" s="17" t="s">
        <v>442</v>
      </c>
      <c r="G65" s="17" t="s">
        <v>330</v>
      </c>
      <c r="H65" s="17" t="s">
        <v>331</v>
      </c>
      <c r="I65" s="17" t="s">
        <v>91</v>
      </c>
      <c r="J65" s="17" t="s">
        <v>539</v>
      </c>
    </row>
    <row r="66" customFormat="false" ht="15" hidden="false" customHeight="true" outlineLevel="0" collapsed="false">
      <c r="A66" s="17" t="n">
        <v>1333</v>
      </c>
      <c r="B66" s="17" t="s">
        <v>540</v>
      </c>
      <c r="C66" s="17" t="s">
        <v>571</v>
      </c>
      <c r="D66" s="17" t="s">
        <v>655</v>
      </c>
      <c r="E66" s="17" t="s">
        <v>95</v>
      </c>
      <c r="F66" s="17" t="s">
        <v>656</v>
      </c>
      <c r="G66" s="17" t="s">
        <v>330</v>
      </c>
      <c r="H66" s="17" t="s">
        <v>331</v>
      </c>
      <c r="I66" s="17" t="s">
        <v>91</v>
      </c>
      <c r="J66" s="17" t="s">
        <v>539</v>
      </c>
    </row>
    <row r="67" customFormat="false" ht="15" hidden="false" customHeight="true" outlineLevel="0" collapsed="false">
      <c r="A67" s="17" t="n">
        <v>698</v>
      </c>
      <c r="B67" s="17" t="s">
        <v>540</v>
      </c>
      <c r="C67" s="17" t="s">
        <v>543</v>
      </c>
      <c r="D67" s="17" t="s">
        <v>657</v>
      </c>
      <c r="E67" s="17" t="s">
        <v>95</v>
      </c>
      <c r="F67" s="17" t="s">
        <v>383</v>
      </c>
      <c r="G67" s="17" t="s">
        <v>545</v>
      </c>
      <c r="H67" s="17" t="s">
        <v>331</v>
      </c>
      <c r="I67" s="17" t="s">
        <v>91</v>
      </c>
      <c r="J67" s="17" t="s">
        <v>539</v>
      </c>
    </row>
    <row r="68" customFormat="false" ht="15" hidden="false" customHeight="true" outlineLevel="0" collapsed="false">
      <c r="A68" s="17" t="n">
        <v>1019</v>
      </c>
      <c r="B68" s="17" t="s">
        <v>540</v>
      </c>
      <c r="C68" s="17" t="s">
        <v>546</v>
      </c>
      <c r="D68" s="17" t="s">
        <v>658</v>
      </c>
      <c r="E68" s="17" t="s">
        <v>95</v>
      </c>
      <c r="F68" s="17" t="s">
        <v>659</v>
      </c>
      <c r="G68" s="17" t="s">
        <v>330</v>
      </c>
      <c r="H68" s="17" t="s">
        <v>331</v>
      </c>
      <c r="I68" s="17" t="s">
        <v>91</v>
      </c>
      <c r="J68" s="17" t="s">
        <v>539</v>
      </c>
    </row>
    <row r="69" customFormat="false" ht="15" hidden="false" customHeight="true" outlineLevel="0" collapsed="false">
      <c r="A69" s="17" t="n">
        <v>796</v>
      </c>
      <c r="B69" s="17" t="s">
        <v>540</v>
      </c>
      <c r="C69" s="17" t="s">
        <v>660</v>
      </c>
      <c r="D69" s="17" t="s">
        <v>661</v>
      </c>
      <c r="E69" s="17" t="s">
        <v>95</v>
      </c>
      <c r="F69" s="17" t="s">
        <v>384</v>
      </c>
      <c r="G69" s="17" t="s">
        <v>330</v>
      </c>
      <c r="H69" s="17" t="s">
        <v>331</v>
      </c>
      <c r="I69" s="17" t="s">
        <v>91</v>
      </c>
      <c r="J69" s="17" t="s">
        <v>539</v>
      </c>
    </row>
    <row r="70" customFormat="false" ht="15" hidden="false" customHeight="true" outlineLevel="0" collapsed="false">
      <c r="A70" s="17" t="n">
        <v>1236</v>
      </c>
      <c r="B70" s="17" t="s">
        <v>540</v>
      </c>
      <c r="C70" s="17" t="s">
        <v>559</v>
      </c>
      <c r="D70" s="17" t="s">
        <v>662</v>
      </c>
      <c r="E70" s="17" t="s">
        <v>95</v>
      </c>
      <c r="F70" s="17" t="s">
        <v>141</v>
      </c>
      <c r="G70" s="17" t="s">
        <v>330</v>
      </c>
      <c r="H70" s="17" t="s">
        <v>331</v>
      </c>
      <c r="I70" s="17" t="s">
        <v>91</v>
      </c>
      <c r="J70" s="17" t="s">
        <v>539</v>
      </c>
    </row>
    <row r="71" customFormat="false" ht="15" hidden="false" customHeight="true" outlineLevel="0" collapsed="false">
      <c r="A71" s="17" t="n">
        <v>972</v>
      </c>
      <c r="B71" s="17" t="s">
        <v>540</v>
      </c>
      <c r="C71" s="17" t="s">
        <v>561</v>
      </c>
      <c r="D71" s="17" t="s">
        <v>663</v>
      </c>
      <c r="E71" s="17" t="s">
        <v>95</v>
      </c>
      <c r="F71" s="17" t="s">
        <v>664</v>
      </c>
      <c r="G71" s="17" t="s">
        <v>330</v>
      </c>
      <c r="H71" s="17" t="s">
        <v>331</v>
      </c>
      <c r="I71" s="17" t="s">
        <v>91</v>
      </c>
      <c r="J71" s="17" t="s">
        <v>539</v>
      </c>
    </row>
    <row r="72" customFormat="false" ht="15" hidden="false" customHeight="true" outlineLevel="0" collapsed="false">
      <c r="A72" s="17" t="n">
        <v>1143</v>
      </c>
      <c r="B72" s="17" t="s">
        <v>540</v>
      </c>
      <c r="C72" s="17" t="s">
        <v>653</v>
      </c>
      <c r="D72" s="17" t="s">
        <v>665</v>
      </c>
      <c r="E72" s="17" t="s">
        <v>95</v>
      </c>
      <c r="F72" s="17" t="s">
        <v>666</v>
      </c>
      <c r="G72" s="17" t="s">
        <v>330</v>
      </c>
      <c r="H72" s="17" t="s">
        <v>331</v>
      </c>
      <c r="I72" s="17" t="s">
        <v>91</v>
      </c>
      <c r="J72" s="17" t="s">
        <v>539</v>
      </c>
    </row>
    <row r="73" customFormat="false" ht="15" hidden="false" customHeight="true" outlineLevel="0" collapsed="false">
      <c r="A73" s="17" t="n">
        <v>1024</v>
      </c>
      <c r="B73" s="17" t="s">
        <v>540</v>
      </c>
      <c r="C73" s="17" t="s">
        <v>546</v>
      </c>
      <c r="D73" s="17" t="s">
        <v>667</v>
      </c>
      <c r="E73" s="17" t="s">
        <v>95</v>
      </c>
      <c r="F73" s="17" t="s">
        <v>668</v>
      </c>
      <c r="G73" s="17" t="s">
        <v>330</v>
      </c>
      <c r="H73" s="17" t="s">
        <v>331</v>
      </c>
      <c r="I73" s="17" t="s">
        <v>91</v>
      </c>
      <c r="J73" s="17" t="s">
        <v>539</v>
      </c>
    </row>
    <row r="74" customFormat="false" ht="15" hidden="false" customHeight="true" outlineLevel="0" collapsed="false">
      <c r="A74" s="17" t="n">
        <v>1335</v>
      </c>
      <c r="B74" s="17" t="s">
        <v>540</v>
      </c>
      <c r="C74" s="17" t="s">
        <v>571</v>
      </c>
      <c r="D74" s="17" t="s">
        <v>669</v>
      </c>
      <c r="E74" s="17" t="s">
        <v>95</v>
      </c>
      <c r="F74" s="17" t="s">
        <v>670</v>
      </c>
      <c r="G74" s="17" t="s">
        <v>330</v>
      </c>
      <c r="H74" s="17" t="s">
        <v>331</v>
      </c>
      <c r="I74" s="17" t="s">
        <v>91</v>
      </c>
      <c r="J74" s="17" t="s">
        <v>539</v>
      </c>
    </row>
    <row r="75" customFormat="false" ht="15" hidden="false" customHeight="true" outlineLevel="0" collapsed="false">
      <c r="A75" s="17" t="n">
        <v>801</v>
      </c>
      <c r="B75" s="17" t="s">
        <v>540</v>
      </c>
      <c r="C75" s="17" t="s">
        <v>660</v>
      </c>
      <c r="D75" s="17" t="s">
        <v>671</v>
      </c>
      <c r="E75" s="17" t="s">
        <v>95</v>
      </c>
      <c r="F75" s="17" t="s">
        <v>672</v>
      </c>
      <c r="G75" s="17" t="s">
        <v>545</v>
      </c>
      <c r="H75" s="17" t="s">
        <v>331</v>
      </c>
      <c r="I75" s="17" t="s">
        <v>91</v>
      </c>
      <c r="J75" s="17" t="s">
        <v>539</v>
      </c>
    </row>
    <row r="76" customFormat="false" ht="15" hidden="false" customHeight="true" outlineLevel="0" collapsed="false">
      <c r="A76" s="17" t="n">
        <v>697</v>
      </c>
      <c r="B76" s="17" t="s">
        <v>540</v>
      </c>
      <c r="C76" s="17" t="s">
        <v>543</v>
      </c>
      <c r="D76" s="17" t="s">
        <v>673</v>
      </c>
      <c r="E76" s="17" t="s">
        <v>95</v>
      </c>
      <c r="F76" s="17" t="s">
        <v>674</v>
      </c>
      <c r="G76" s="17" t="s">
        <v>545</v>
      </c>
      <c r="H76" s="17" t="s">
        <v>331</v>
      </c>
      <c r="I76" s="17" t="s">
        <v>91</v>
      </c>
      <c r="J76" s="17" t="s">
        <v>539</v>
      </c>
    </row>
    <row r="77" customFormat="false" ht="15" hidden="false" customHeight="true" outlineLevel="0" collapsed="false">
      <c r="A77" s="17" t="n">
        <v>902</v>
      </c>
      <c r="B77" s="17" t="s">
        <v>540</v>
      </c>
      <c r="C77" s="17" t="s">
        <v>675</v>
      </c>
      <c r="D77" s="17" t="s">
        <v>676</v>
      </c>
      <c r="E77" s="17" t="s">
        <v>95</v>
      </c>
      <c r="F77" s="17" t="s">
        <v>677</v>
      </c>
      <c r="G77" s="17" t="s">
        <v>330</v>
      </c>
      <c r="H77" s="17" t="s">
        <v>331</v>
      </c>
      <c r="I77" s="17" t="s">
        <v>91</v>
      </c>
      <c r="J77" s="17" t="s">
        <v>539</v>
      </c>
    </row>
    <row r="78" customFormat="false" ht="15" hidden="false" customHeight="true" outlineLevel="0" collapsed="false">
      <c r="A78" s="17" t="n">
        <v>893</v>
      </c>
      <c r="B78" s="17" t="s">
        <v>540</v>
      </c>
      <c r="C78" s="17" t="s">
        <v>632</v>
      </c>
      <c r="D78" s="17" t="s">
        <v>678</v>
      </c>
      <c r="E78" s="17" t="s">
        <v>95</v>
      </c>
      <c r="F78" s="17" t="s">
        <v>679</v>
      </c>
      <c r="G78" s="17" t="s">
        <v>330</v>
      </c>
      <c r="H78" s="17" t="s">
        <v>331</v>
      </c>
      <c r="I78" s="17" t="s">
        <v>91</v>
      </c>
      <c r="J78" s="17" t="s">
        <v>539</v>
      </c>
    </row>
    <row r="79" customFormat="false" ht="15" hidden="false" customHeight="true" outlineLevel="0" collapsed="false">
      <c r="A79" s="17" t="n">
        <v>719</v>
      </c>
      <c r="B79" s="17" t="s">
        <v>540</v>
      </c>
      <c r="C79" s="17" t="s">
        <v>543</v>
      </c>
      <c r="D79" s="17" t="s">
        <v>680</v>
      </c>
      <c r="E79" s="17" t="s">
        <v>95</v>
      </c>
      <c r="F79" s="17" t="s">
        <v>681</v>
      </c>
      <c r="G79" s="17" t="s">
        <v>545</v>
      </c>
      <c r="H79" s="17" t="s">
        <v>331</v>
      </c>
      <c r="I79" s="17" t="s">
        <v>91</v>
      </c>
      <c r="J79" s="17" t="s">
        <v>539</v>
      </c>
    </row>
    <row r="80" customFormat="false" ht="15" hidden="false" customHeight="true" outlineLevel="0" collapsed="false">
      <c r="A80" s="17" t="n">
        <v>1201</v>
      </c>
      <c r="B80" s="17" t="s">
        <v>540</v>
      </c>
      <c r="C80" s="17" t="s">
        <v>557</v>
      </c>
      <c r="D80" s="17" t="s">
        <v>682</v>
      </c>
      <c r="E80" s="17" t="s">
        <v>95</v>
      </c>
      <c r="F80" s="17" t="s">
        <v>683</v>
      </c>
      <c r="G80" s="17" t="s">
        <v>330</v>
      </c>
      <c r="H80" s="17" t="s">
        <v>331</v>
      </c>
      <c r="I80" s="17" t="s">
        <v>91</v>
      </c>
      <c r="J80" s="17" t="s">
        <v>539</v>
      </c>
    </row>
    <row r="81" customFormat="false" ht="15" hidden="false" customHeight="true" outlineLevel="0" collapsed="false">
      <c r="A81" s="17" t="n">
        <v>925</v>
      </c>
      <c r="B81" s="17" t="s">
        <v>540</v>
      </c>
      <c r="C81" s="17" t="s">
        <v>684</v>
      </c>
      <c r="D81" s="17" t="s">
        <v>685</v>
      </c>
      <c r="E81" s="17" t="s">
        <v>95</v>
      </c>
      <c r="F81" s="17" t="s">
        <v>686</v>
      </c>
      <c r="G81" s="17" t="s">
        <v>330</v>
      </c>
      <c r="H81" s="17" t="s">
        <v>331</v>
      </c>
      <c r="I81" s="17" t="s">
        <v>91</v>
      </c>
      <c r="J81" s="17" t="s">
        <v>539</v>
      </c>
    </row>
    <row r="82" customFormat="false" ht="15" hidden="false" customHeight="true" outlineLevel="0" collapsed="false">
      <c r="A82" s="17" t="n">
        <v>1213</v>
      </c>
      <c r="B82" s="17" t="s">
        <v>540</v>
      </c>
      <c r="C82" s="17" t="s">
        <v>549</v>
      </c>
      <c r="D82" s="17" t="s">
        <v>687</v>
      </c>
      <c r="E82" s="17" t="s">
        <v>95</v>
      </c>
      <c r="F82" s="17" t="s">
        <v>688</v>
      </c>
      <c r="G82" s="17" t="s">
        <v>330</v>
      </c>
      <c r="H82" s="17" t="s">
        <v>331</v>
      </c>
      <c r="I82" s="17" t="s">
        <v>91</v>
      </c>
      <c r="J82" s="17" t="s">
        <v>539</v>
      </c>
    </row>
    <row r="83" customFormat="false" ht="15" hidden="false" customHeight="true" outlineLevel="0" collapsed="false">
      <c r="A83" s="17" t="n">
        <v>1103</v>
      </c>
      <c r="B83" s="17" t="s">
        <v>540</v>
      </c>
      <c r="C83" s="17" t="s">
        <v>541</v>
      </c>
      <c r="D83" s="17" t="s">
        <v>689</v>
      </c>
      <c r="E83" s="17" t="s">
        <v>95</v>
      </c>
      <c r="F83" s="17" t="s">
        <v>690</v>
      </c>
      <c r="G83" s="17" t="s">
        <v>330</v>
      </c>
      <c r="H83" s="17" t="s">
        <v>331</v>
      </c>
      <c r="I83" s="17" t="s">
        <v>91</v>
      </c>
      <c r="J83" s="17" t="s">
        <v>539</v>
      </c>
    </row>
    <row r="84" customFormat="false" ht="15" hidden="false" customHeight="true" outlineLevel="0" collapsed="false">
      <c r="A84" s="17" t="n">
        <v>891</v>
      </c>
      <c r="B84" s="17" t="s">
        <v>540</v>
      </c>
      <c r="C84" s="17" t="s">
        <v>632</v>
      </c>
      <c r="D84" s="17" t="s">
        <v>691</v>
      </c>
      <c r="E84" s="17" t="s">
        <v>95</v>
      </c>
      <c r="F84" s="17" t="s">
        <v>692</v>
      </c>
      <c r="G84" s="17" t="s">
        <v>330</v>
      </c>
      <c r="H84" s="17" t="s">
        <v>331</v>
      </c>
      <c r="I84" s="17" t="s">
        <v>91</v>
      </c>
      <c r="J84" s="17" t="s">
        <v>539</v>
      </c>
    </row>
    <row r="85" customFormat="false" ht="15" hidden="false" customHeight="true" outlineLevel="0" collapsed="false">
      <c r="A85" s="17" t="n">
        <v>829</v>
      </c>
      <c r="B85" s="17" t="s">
        <v>540</v>
      </c>
      <c r="C85" s="17" t="s">
        <v>693</v>
      </c>
      <c r="D85" s="17" t="s">
        <v>694</v>
      </c>
      <c r="E85" s="17" t="s">
        <v>95</v>
      </c>
      <c r="F85" s="17" t="s">
        <v>695</v>
      </c>
      <c r="G85" s="17" t="s">
        <v>330</v>
      </c>
      <c r="H85" s="17" t="s">
        <v>331</v>
      </c>
      <c r="I85" s="17" t="s">
        <v>91</v>
      </c>
      <c r="J85" s="17" t="s">
        <v>539</v>
      </c>
    </row>
    <row r="86" customFormat="false" ht="15" hidden="false" customHeight="true" outlineLevel="0" collapsed="false">
      <c r="A86" s="17" t="n">
        <v>1599</v>
      </c>
      <c r="B86" s="17" t="s">
        <v>696</v>
      </c>
      <c r="C86" s="17" t="s">
        <v>697</v>
      </c>
      <c r="D86" s="17" t="s">
        <v>698</v>
      </c>
      <c r="E86" s="17" t="s">
        <v>95</v>
      </c>
      <c r="F86" s="17" t="s">
        <v>394</v>
      </c>
      <c r="G86" s="17" t="s">
        <v>344</v>
      </c>
      <c r="H86" s="17" t="s">
        <v>699</v>
      </c>
      <c r="I86" s="17" t="s">
        <v>592</v>
      </c>
      <c r="J86" s="17" t="s">
        <v>539</v>
      </c>
    </row>
    <row r="87" customFormat="false" ht="15" hidden="false" customHeight="true" outlineLevel="0" collapsed="false">
      <c r="A87" s="17" t="n">
        <v>1598</v>
      </c>
      <c r="B87" s="17" t="s">
        <v>696</v>
      </c>
      <c r="C87" s="17" t="s">
        <v>700</v>
      </c>
      <c r="D87" s="17" t="s">
        <v>701</v>
      </c>
      <c r="E87" s="17" t="s">
        <v>95</v>
      </c>
      <c r="F87" s="17" t="s">
        <v>702</v>
      </c>
      <c r="G87" s="17" t="s">
        <v>344</v>
      </c>
      <c r="H87" s="17" t="s">
        <v>699</v>
      </c>
      <c r="I87" s="17" t="s">
        <v>91</v>
      </c>
      <c r="J87" s="17" t="s">
        <v>539</v>
      </c>
    </row>
    <row r="88" customFormat="false" ht="15" hidden="false" customHeight="true" outlineLevel="0" collapsed="false">
      <c r="A88" s="17" t="n">
        <v>793</v>
      </c>
      <c r="B88" s="17" t="s">
        <v>540</v>
      </c>
      <c r="C88" s="17" t="s">
        <v>660</v>
      </c>
      <c r="D88" s="17" t="s">
        <v>703</v>
      </c>
      <c r="E88" s="17" t="s">
        <v>95</v>
      </c>
      <c r="F88" s="17" t="s">
        <v>704</v>
      </c>
      <c r="G88" s="17" t="s">
        <v>330</v>
      </c>
      <c r="H88" s="17" t="s">
        <v>331</v>
      </c>
      <c r="I88" s="17" t="s">
        <v>91</v>
      </c>
      <c r="J88" s="17" t="s">
        <v>539</v>
      </c>
    </row>
    <row r="89" customFormat="false" ht="15" hidden="false" customHeight="true" outlineLevel="0" collapsed="false">
      <c r="A89" s="17" t="n">
        <v>1014</v>
      </c>
      <c r="B89" s="17" t="s">
        <v>540</v>
      </c>
      <c r="C89" s="17" t="s">
        <v>546</v>
      </c>
      <c r="D89" s="17" t="s">
        <v>705</v>
      </c>
      <c r="E89" s="17" t="s">
        <v>95</v>
      </c>
      <c r="F89" s="17" t="s">
        <v>706</v>
      </c>
      <c r="G89" s="17" t="s">
        <v>330</v>
      </c>
      <c r="H89" s="17" t="s">
        <v>331</v>
      </c>
      <c r="I89" s="17" t="s">
        <v>91</v>
      </c>
      <c r="J89" s="17" t="s">
        <v>539</v>
      </c>
    </row>
    <row r="90" customFormat="false" ht="15" hidden="false" customHeight="true" outlineLevel="0" collapsed="false">
      <c r="A90" s="17" t="n">
        <v>1173</v>
      </c>
      <c r="B90" s="17" t="s">
        <v>540</v>
      </c>
      <c r="C90" s="17" t="s">
        <v>653</v>
      </c>
      <c r="D90" s="17" t="s">
        <v>707</v>
      </c>
      <c r="E90" s="17" t="s">
        <v>95</v>
      </c>
      <c r="F90" s="17" t="s">
        <v>412</v>
      </c>
      <c r="G90" s="17" t="s">
        <v>330</v>
      </c>
      <c r="H90" s="17" t="s">
        <v>331</v>
      </c>
      <c r="I90" s="17" t="s">
        <v>91</v>
      </c>
      <c r="J90" s="17" t="s">
        <v>539</v>
      </c>
    </row>
    <row r="91" customFormat="false" ht="15" hidden="false" customHeight="true" outlineLevel="0" collapsed="false">
      <c r="A91" s="17" t="n">
        <v>732</v>
      </c>
      <c r="B91" s="17" t="s">
        <v>540</v>
      </c>
      <c r="C91" s="17" t="s">
        <v>543</v>
      </c>
      <c r="D91" s="17" t="s">
        <v>708</v>
      </c>
      <c r="E91" s="17" t="s">
        <v>95</v>
      </c>
      <c r="F91" s="17" t="s">
        <v>709</v>
      </c>
      <c r="G91" s="17" t="s">
        <v>545</v>
      </c>
      <c r="H91" s="17" t="s">
        <v>331</v>
      </c>
      <c r="I91" s="17" t="s">
        <v>91</v>
      </c>
      <c r="J91" s="17" t="s">
        <v>539</v>
      </c>
    </row>
    <row r="92" customFormat="false" ht="15" hidden="false" customHeight="true" outlineLevel="0" collapsed="false">
      <c r="A92" s="17" t="n">
        <v>1021</v>
      </c>
      <c r="B92" s="17" t="s">
        <v>540</v>
      </c>
      <c r="C92" s="17" t="s">
        <v>546</v>
      </c>
      <c r="D92" s="17" t="s">
        <v>710</v>
      </c>
      <c r="E92" s="17" t="s">
        <v>95</v>
      </c>
      <c r="F92" s="17" t="s">
        <v>711</v>
      </c>
      <c r="G92" s="17" t="s">
        <v>330</v>
      </c>
      <c r="H92" s="17" t="s">
        <v>331</v>
      </c>
      <c r="I92" s="17" t="s">
        <v>91</v>
      </c>
      <c r="J92" s="17" t="s">
        <v>539</v>
      </c>
    </row>
    <row r="93" customFormat="false" ht="15" hidden="false" customHeight="true" outlineLevel="0" collapsed="false">
      <c r="A93" s="17" t="n">
        <v>898</v>
      </c>
      <c r="B93" s="17" t="s">
        <v>540</v>
      </c>
      <c r="C93" s="17" t="s">
        <v>675</v>
      </c>
      <c r="D93" s="17" t="s">
        <v>712</v>
      </c>
      <c r="E93" s="17" t="s">
        <v>95</v>
      </c>
      <c r="F93" s="17" t="s">
        <v>413</v>
      </c>
      <c r="G93" s="17" t="s">
        <v>330</v>
      </c>
      <c r="H93" s="17" t="s">
        <v>331</v>
      </c>
      <c r="I93" s="17" t="s">
        <v>91</v>
      </c>
      <c r="J93" s="17" t="s">
        <v>539</v>
      </c>
    </row>
    <row r="94" customFormat="false" ht="15" hidden="false" customHeight="true" outlineLevel="0" collapsed="false">
      <c r="A94" s="17" t="n">
        <v>1378</v>
      </c>
      <c r="B94" s="17" t="s">
        <v>540</v>
      </c>
      <c r="C94" s="17" t="s">
        <v>713</v>
      </c>
      <c r="D94" s="17" t="s">
        <v>714</v>
      </c>
      <c r="E94" s="17" t="s">
        <v>95</v>
      </c>
      <c r="F94" s="17" t="s">
        <v>414</v>
      </c>
      <c r="G94" s="17" t="s">
        <v>330</v>
      </c>
      <c r="H94" s="17" t="s">
        <v>331</v>
      </c>
      <c r="I94" s="17" t="s">
        <v>91</v>
      </c>
      <c r="J94" s="17" t="s">
        <v>539</v>
      </c>
    </row>
    <row r="95" customFormat="false" ht="15" hidden="false" customHeight="true" outlineLevel="0" collapsed="false">
      <c r="A95" s="17" t="n">
        <v>730</v>
      </c>
      <c r="B95" s="17" t="s">
        <v>540</v>
      </c>
      <c r="C95" s="17" t="s">
        <v>543</v>
      </c>
      <c r="D95" s="17" t="s">
        <v>715</v>
      </c>
      <c r="E95" s="17" t="s">
        <v>95</v>
      </c>
      <c r="F95" s="17" t="s">
        <v>450</v>
      </c>
      <c r="G95" s="17" t="s">
        <v>545</v>
      </c>
      <c r="H95" s="17" t="s">
        <v>331</v>
      </c>
      <c r="I95" s="17" t="s">
        <v>91</v>
      </c>
      <c r="J95" s="17" t="s">
        <v>539</v>
      </c>
    </row>
    <row r="96" customFormat="false" ht="15" hidden="false" customHeight="true" outlineLevel="0" collapsed="false">
      <c r="A96" s="17" t="n">
        <v>832</v>
      </c>
      <c r="B96" s="17" t="s">
        <v>540</v>
      </c>
      <c r="C96" s="17" t="s">
        <v>716</v>
      </c>
      <c r="D96" s="17" t="s">
        <v>717</v>
      </c>
      <c r="E96" s="17" t="s">
        <v>95</v>
      </c>
      <c r="F96" s="17" t="s">
        <v>451</v>
      </c>
      <c r="G96" s="17" t="s">
        <v>330</v>
      </c>
      <c r="H96" s="17" t="s">
        <v>331</v>
      </c>
      <c r="I96" s="17" t="s">
        <v>91</v>
      </c>
      <c r="J96" s="17" t="s">
        <v>539</v>
      </c>
    </row>
    <row r="97" customFormat="false" ht="15" hidden="false" customHeight="true" outlineLevel="0" collapsed="false">
      <c r="A97" s="17" t="n">
        <v>733</v>
      </c>
      <c r="B97" s="17" t="s">
        <v>540</v>
      </c>
      <c r="C97" s="17" t="s">
        <v>543</v>
      </c>
      <c r="D97" s="17" t="s">
        <v>718</v>
      </c>
      <c r="E97" s="17" t="s">
        <v>95</v>
      </c>
      <c r="F97" s="17" t="s">
        <v>452</v>
      </c>
      <c r="G97" s="17" t="s">
        <v>545</v>
      </c>
      <c r="H97" s="17" t="s">
        <v>331</v>
      </c>
      <c r="I97" s="17" t="s">
        <v>91</v>
      </c>
      <c r="J97" s="17" t="s">
        <v>539</v>
      </c>
    </row>
    <row r="98" customFormat="false" ht="15" hidden="false" customHeight="true" outlineLevel="0" collapsed="false">
      <c r="A98" s="17" t="n">
        <v>806</v>
      </c>
      <c r="B98" s="17" t="s">
        <v>540</v>
      </c>
      <c r="C98" s="17" t="s">
        <v>660</v>
      </c>
      <c r="D98" s="17" t="s">
        <v>719</v>
      </c>
      <c r="E98" s="17" t="s">
        <v>95</v>
      </c>
      <c r="F98" s="17" t="s">
        <v>453</v>
      </c>
      <c r="G98" s="17" t="s">
        <v>330</v>
      </c>
      <c r="H98" s="17" t="s">
        <v>331</v>
      </c>
      <c r="I98" s="17" t="s">
        <v>91</v>
      </c>
      <c r="J98" s="17" t="s">
        <v>539</v>
      </c>
    </row>
    <row r="99" customFormat="false" ht="15" hidden="false" customHeight="true" outlineLevel="0" collapsed="false">
      <c r="A99" s="17" t="n">
        <v>1151</v>
      </c>
      <c r="B99" s="17" t="s">
        <v>540</v>
      </c>
      <c r="C99" s="17" t="s">
        <v>653</v>
      </c>
      <c r="D99" s="17" t="s">
        <v>720</v>
      </c>
      <c r="E99" s="17" t="s">
        <v>95</v>
      </c>
      <c r="F99" s="17" t="s">
        <v>157</v>
      </c>
      <c r="G99" s="17" t="s">
        <v>330</v>
      </c>
      <c r="H99" s="17" t="s">
        <v>331</v>
      </c>
      <c r="I99" s="17" t="s">
        <v>91</v>
      </c>
      <c r="J99" s="17" t="s">
        <v>539</v>
      </c>
    </row>
    <row r="100" customFormat="false" ht="15" hidden="false" customHeight="true" outlineLevel="0" collapsed="false">
      <c r="A100" s="17" t="n">
        <v>1166</v>
      </c>
      <c r="B100" s="17" t="s">
        <v>540</v>
      </c>
      <c r="C100" s="17" t="s">
        <v>653</v>
      </c>
      <c r="D100" s="17" t="s">
        <v>721</v>
      </c>
      <c r="E100" s="17" t="s">
        <v>95</v>
      </c>
      <c r="F100" s="17" t="s">
        <v>415</v>
      </c>
      <c r="G100" s="17" t="s">
        <v>330</v>
      </c>
      <c r="H100" s="17" t="s">
        <v>331</v>
      </c>
      <c r="I100" s="17" t="s">
        <v>91</v>
      </c>
      <c r="J100" s="17" t="s">
        <v>539</v>
      </c>
    </row>
    <row r="101" customFormat="false" ht="15" hidden="false" customHeight="true" outlineLevel="0" collapsed="false">
      <c r="A101" s="17" t="n">
        <v>1027</v>
      </c>
      <c r="B101" s="17" t="s">
        <v>540</v>
      </c>
      <c r="C101" s="17" t="s">
        <v>546</v>
      </c>
      <c r="D101" s="17" t="s">
        <v>722</v>
      </c>
      <c r="E101" s="17" t="s">
        <v>95</v>
      </c>
      <c r="F101" s="17" t="s">
        <v>416</v>
      </c>
      <c r="G101" s="17" t="s">
        <v>330</v>
      </c>
      <c r="H101" s="17" t="s">
        <v>331</v>
      </c>
      <c r="I101" s="17" t="s">
        <v>91</v>
      </c>
      <c r="J101" s="17" t="s">
        <v>539</v>
      </c>
    </row>
    <row r="102" customFormat="false" ht="15" hidden="false" customHeight="true" outlineLevel="0" collapsed="false">
      <c r="A102" s="17" t="n">
        <v>734</v>
      </c>
      <c r="B102" s="17" t="s">
        <v>540</v>
      </c>
      <c r="C102" s="17" t="s">
        <v>543</v>
      </c>
      <c r="D102" s="17" t="s">
        <v>723</v>
      </c>
      <c r="E102" s="17" t="s">
        <v>95</v>
      </c>
      <c r="F102" s="17" t="s">
        <v>455</v>
      </c>
      <c r="G102" s="17" t="s">
        <v>545</v>
      </c>
      <c r="H102" s="17" t="s">
        <v>331</v>
      </c>
      <c r="I102" s="17" t="s">
        <v>91</v>
      </c>
      <c r="J102" s="17" t="s">
        <v>539</v>
      </c>
    </row>
    <row r="103" customFormat="false" ht="15" hidden="false" customHeight="true" outlineLevel="0" collapsed="false">
      <c r="A103" s="17" t="n">
        <v>1171</v>
      </c>
      <c r="B103" s="17" t="s">
        <v>540</v>
      </c>
      <c r="C103" s="17" t="s">
        <v>653</v>
      </c>
      <c r="D103" s="17" t="s">
        <v>724</v>
      </c>
      <c r="E103" s="17" t="s">
        <v>95</v>
      </c>
      <c r="F103" s="17" t="s">
        <v>417</v>
      </c>
      <c r="G103" s="17" t="s">
        <v>330</v>
      </c>
      <c r="H103" s="17" t="s">
        <v>331</v>
      </c>
      <c r="I103" s="17" t="s">
        <v>91</v>
      </c>
      <c r="J103" s="17" t="s">
        <v>539</v>
      </c>
    </row>
    <row r="104" customFormat="false" ht="15" hidden="false" customHeight="true" outlineLevel="0" collapsed="false">
      <c r="A104" s="17" t="n">
        <v>718</v>
      </c>
      <c r="B104" s="17" t="s">
        <v>540</v>
      </c>
      <c r="C104" s="17" t="s">
        <v>543</v>
      </c>
      <c r="D104" s="17" t="s">
        <v>725</v>
      </c>
      <c r="E104" s="17" t="s">
        <v>95</v>
      </c>
      <c r="F104" s="17" t="s">
        <v>159</v>
      </c>
      <c r="G104" s="17" t="s">
        <v>545</v>
      </c>
      <c r="H104" s="17" t="s">
        <v>331</v>
      </c>
      <c r="I104" s="17" t="s">
        <v>91</v>
      </c>
      <c r="J104" s="17" t="s">
        <v>539</v>
      </c>
    </row>
    <row r="105" customFormat="false" ht="15" hidden="false" customHeight="true" outlineLevel="0" collapsed="false">
      <c r="A105" s="17" t="n">
        <v>1016</v>
      </c>
      <c r="B105" s="17" t="s">
        <v>540</v>
      </c>
      <c r="C105" s="17" t="s">
        <v>546</v>
      </c>
      <c r="D105" s="17" t="s">
        <v>726</v>
      </c>
      <c r="E105" s="17" t="s">
        <v>95</v>
      </c>
      <c r="F105" s="17" t="s">
        <v>456</v>
      </c>
      <c r="G105" s="17" t="s">
        <v>330</v>
      </c>
      <c r="H105" s="17" t="s">
        <v>331</v>
      </c>
      <c r="I105" s="17" t="s">
        <v>91</v>
      </c>
      <c r="J105" s="17" t="s">
        <v>539</v>
      </c>
    </row>
    <row r="106" customFormat="false" ht="15" hidden="false" customHeight="true" outlineLevel="0" collapsed="false">
      <c r="A106" s="17" t="n">
        <v>803</v>
      </c>
      <c r="B106" s="17" t="s">
        <v>540</v>
      </c>
      <c r="C106" s="17" t="s">
        <v>660</v>
      </c>
      <c r="D106" s="17" t="s">
        <v>727</v>
      </c>
      <c r="E106" s="17" t="s">
        <v>95</v>
      </c>
      <c r="F106" s="17" t="s">
        <v>458</v>
      </c>
      <c r="G106" s="17" t="s">
        <v>330</v>
      </c>
      <c r="H106" s="17" t="s">
        <v>331</v>
      </c>
      <c r="I106" s="17" t="s">
        <v>91</v>
      </c>
      <c r="J106" s="17" t="s">
        <v>539</v>
      </c>
    </row>
    <row r="107" customFormat="false" ht="15" hidden="false" customHeight="true" outlineLevel="0" collapsed="false">
      <c r="A107" s="17" t="n">
        <v>717</v>
      </c>
      <c r="B107" s="17" t="s">
        <v>540</v>
      </c>
      <c r="C107" s="17" t="s">
        <v>543</v>
      </c>
      <c r="D107" s="17" t="s">
        <v>728</v>
      </c>
      <c r="E107" s="17" t="s">
        <v>95</v>
      </c>
      <c r="F107" s="17" t="s">
        <v>459</v>
      </c>
      <c r="G107" s="17" t="s">
        <v>545</v>
      </c>
      <c r="H107" s="17" t="s">
        <v>331</v>
      </c>
      <c r="I107" s="17" t="s">
        <v>91</v>
      </c>
      <c r="J107" s="17" t="s">
        <v>539</v>
      </c>
    </row>
    <row r="108" customFormat="false" ht="15" hidden="false" customHeight="true" outlineLevel="0" collapsed="false">
      <c r="A108" s="17" t="n">
        <v>1022</v>
      </c>
      <c r="B108" s="17" t="s">
        <v>540</v>
      </c>
      <c r="C108" s="17" t="s">
        <v>546</v>
      </c>
      <c r="D108" s="17" t="s">
        <v>729</v>
      </c>
      <c r="E108" s="17" t="s">
        <v>95</v>
      </c>
      <c r="F108" s="17" t="s">
        <v>460</v>
      </c>
      <c r="G108" s="17" t="s">
        <v>330</v>
      </c>
      <c r="H108" s="17" t="s">
        <v>331</v>
      </c>
      <c r="I108" s="17" t="s">
        <v>91</v>
      </c>
      <c r="J108" s="17" t="s">
        <v>539</v>
      </c>
    </row>
    <row r="109" customFormat="false" ht="15" hidden="false" customHeight="true" outlineLevel="0" collapsed="false">
      <c r="A109" s="17" t="n">
        <v>805</v>
      </c>
      <c r="B109" s="17" t="s">
        <v>540</v>
      </c>
      <c r="C109" s="17" t="s">
        <v>660</v>
      </c>
      <c r="D109" s="17" t="s">
        <v>730</v>
      </c>
      <c r="E109" s="17" t="s">
        <v>95</v>
      </c>
      <c r="F109" s="17" t="s">
        <v>170</v>
      </c>
      <c r="G109" s="17" t="s">
        <v>330</v>
      </c>
      <c r="H109" s="17" t="s">
        <v>331</v>
      </c>
      <c r="I109" s="17" t="s">
        <v>91</v>
      </c>
      <c r="J109" s="17" t="s">
        <v>539</v>
      </c>
    </row>
    <row r="110" customFormat="false" ht="15" hidden="false" customHeight="true" outlineLevel="0" collapsed="false">
      <c r="A110" s="17" t="n">
        <v>1154</v>
      </c>
      <c r="B110" s="17" t="s">
        <v>540</v>
      </c>
      <c r="C110" s="17" t="s">
        <v>653</v>
      </c>
      <c r="D110" s="17" t="s">
        <v>731</v>
      </c>
      <c r="E110" s="17" t="s">
        <v>95</v>
      </c>
      <c r="F110" s="17" t="s">
        <v>461</v>
      </c>
      <c r="G110" s="17" t="s">
        <v>330</v>
      </c>
      <c r="H110" s="17" t="s">
        <v>331</v>
      </c>
      <c r="I110" s="17" t="s">
        <v>91</v>
      </c>
      <c r="J110" s="17" t="s">
        <v>539</v>
      </c>
    </row>
    <row r="111" customFormat="false" ht="15" hidden="false" customHeight="true" outlineLevel="0" collapsed="false">
      <c r="A111" s="17" t="n">
        <v>831</v>
      </c>
      <c r="B111" s="17" t="s">
        <v>540</v>
      </c>
      <c r="C111" s="17" t="s">
        <v>716</v>
      </c>
      <c r="D111" s="17" t="s">
        <v>732</v>
      </c>
      <c r="E111" s="17" t="s">
        <v>95</v>
      </c>
      <c r="F111" s="17" t="s">
        <v>462</v>
      </c>
      <c r="G111" s="17" t="s">
        <v>330</v>
      </c>
      <c r="H111" s="17" t="s">
        <v>331</v>
      </c>
      <c r="I111" s="17" t="s">
        <v>91</v>
      </c>
      <c r="J111" s="17" t="s">
        <v>539</v>
      </c>
    </row>
    <row r="112" customFormat="false" ht="15" hidden="false" customHeight="true" outlineLevel="0" collapsed="false">
      <c r="A112" s="17" t="n">
        <v>798</v>
      </c>
      <c r="B112" s="17" t="s">
        <v>540</v>
      </c>
      <c r="C112" s="17" t="s">
        <v>660</v>
      </c>
      <c r="D112" s="17" t="s">
        <v>733</v>
      </c>
      <c r="E112" s="17" t="s">
        <v>95</v>
      </c>
      <c r="F112" s="17" t="s">
        <v>465</v>
      </c>
      <c r="G112" s="17" t="s">
        <v>330</v>
      </c>
      <c r="H112" s="17" t="s">
        <v>331</v>
      </c>
      <c r="I112" s="17" t="s">
        <v>91</v>
      </c>
      <c r="J112" s="17" t="s">
        <v>539</v>
      </c>
    </row>
    <row r="113" customFormat="false" ht="15" hidden="false" customHeight="true" outlineLevel="0" collapsed="false">
      <c r="A113" s="17" t="n">
        <v>1175</v>
      </c>
      <c r="B113" s="17" t="s">
        <v>540</v>
      </c>
      <c r="C113" s="17" t="s">
        <v>653</v>
      </c>
      <c r="D113" s="17" t="s">
        <v>734</v>
      </c>
      <c r="E113" s="17" t="s">
        <v>95</v>
      </c>
      <c r="F113" s="17" t="s">
        <v>735</v>
      </c>
      <c r="G113" s="17" t="s">
        <v>330</v>
      </c>
      <c r="H113" s="17" t="s">
        <v>331</v>
      </c>
      <c r="I113" s="17" t="s">
        <v>91</v>
      </c>
      <c r="J113" s="17" t="s">
        <v>539</v>
      </c>
    </row>
    <row r="114" customFormat="false" ht="15" hidden="false" customHeight="true" outlineLevel="0" collapsed="false">
      <c r="A114" s="17" t="n">
        <v>1029</v>
      </c>
      <c r="B114" s="17" t="s">
        <v>540</v>
      </c>
      <c r="C114" s="17" t="s">
        <v>546</v>
      </c>
      <c r="D114" s="17" t="s">
        <v>736</v>
      </c>
      <c r="E114" s="17" t="s">
        <v>95</v>
      </c>
      <c r="F114" s="17" t="s">
        <v>466</v>
      </c>
      <c r="G114" s="17" t="s">
        <v>330</v>
      </c>
      <c r="H114" s="17" t="s">
        <v>331</v>
      </c>
      <c r="I114" s="17" t="s">
        <v>91</v>
      </c>
      <c r="J114" s="17" t="s">
        <v>539</v>
      </c>
    </row>
    <row r="115" customFormat="false" ht="15" hidden="false" customHeight="true" outlineLevel="0" collapsed="false">
      <c r="A115" s="17" t="n">
        <v>731</v>
      </c>
      <c r="B115" s="17" t="s">
        <v>540</v>
      </c>
      <c r="C115" s="17" t="s">
        <v>543</v>
      </c>
      <c r="D115" s="17" t="s">
        <v>737</v>
      </c>
      <c r="E115" s="17" t="s">
        <v>95</v>
      </c>
      <c r="F115" s="17" t="s">
        <v>467</v>
      </c>
      <c r="G115" s="17" t="s">
        <v>545</v>
      </c>
      <c r="H115" s="17" t="s">
        <v>331</v>
      </c>
      <c r="I115" s="17" t="s">
        <v>91</v>
      </c>
      <c r="J115" s="17" t="s">
        <v>539</v>
      </c>
    </row>
    <row r="116" customFormat="false" ht="15" hidden="false" customHeight="true" outlineLevel="0" collapsed="false">
      <c r="A116" s="17" t="n">
        <v>794</v>
      </c>
      <c r="B116" s="17" t="s">
        <v>540</v>
      </c>
      <c r="C116" s="17" t="s">
        <v>660</v>
      </c>
      <c r="D116" s="17" t="s">
        <v>738</v>
      </c>
      <c r="E116" s="17" t="s">
        <v>95</v>
      </c>
      <c r="F116" s="17" t="s">
        <v>173</v>
      </c>
      <c r="G116" s="17" t="s">
        <v>330</v>
      </c>
      <c r="H116" s="17" t="s">
        <v>331</v>
      </c>
      <c r="I116" s="17" t="s">
        <v>91</v>
      </c>
      <c r="J116" s="17" t="s">
        <v>539</v>
      </c>
    </row>
    <row r="117" customFormat="false" ht="15" hidden="false" customHeight="true" outlineLevel="0" collapsed="false">
      <c r="A117" s="17" t="n">
        <v>496</v>
      </c>
      <c r="B117" s="17" t="s">
        <v>535</v>
      </c>
      <c r="C117" s="17" t="s">
        <v>739</v>
      </c>
      <c r="D117" s="17" t="s">
        <v>740</v>
      </c>
      <c r="E117" s="17" t="s">
        <v>135</v>
      </c>
      <c r="F117" s="17" t="s">
        <v>213</v>
      </c>
      <c r="G117" s="17" t="s">
        <v>325</v>
      </c>
      <c r="H117" s="17" t="s">
        <v>538</v>
      </c>
      <c r="I117" s="17" t="s">
        <v>91</v>
      </c>
      <c r="J117" s="17" t="s">
        <v>539</v>
      </c>
    </row>
    <row r="118" customFormat="false" ht="15" hidden="false" customHeight="true" outlineLevel="0" collapsed="false">
      <c r="A118" s="17" t="n">
        <v>453</v>
      </c>
      <c r="B118" s="17" t="s">
        <v>535</v>
      </c>
      <c r="C118" s="17" t="s">
        <v>741</v>
      </c>
      <c r="D118" s="17" t="s">
        <v>742</v>
      </c>
      <c r="E118" s="17" t="s">
        <v>135</v>
      </c>
      <c r="F118" s="17" t="s">
        <v>197</v>
      </c>
      <c r="G118" s="17" t="s">
        <v>325</v>
      </c>
      <c r="H118" s="17" t="s">
        <v>538</v>
      </c>
      <c r="I118" s="17" t="s">
        <v>91</v>
      </c>
      <c r="J118" s="17" t="s">
        <v>539</v>
      </c>
    </row>
    <row r="119" customFormat="false" ht="15" hidden="false" customHeight="true" outlineLevel="0" collapsed="false">
      <c r="A119" s="17" t="n">
        <v>452</v>
      </c>
      <c r="B119" s="17" t="s">
        <v>535</v>
      </c>
      <c r="C119" s="17" t="s">
        <v>743</v>
      </c>
      <c r="D119" s="17" t="s">
        <v>744</v>
      </c>
      <c r="E119" s="17" t="s">
        <v>135</v>
      </c>
      <c r="F119" s="17" t="s">
        <v>93</v>
      </c>
      <c r="G119" s="17" t="s">
        <v>325</v>
      </c>
      <c r="H119" s="17" t="s">
        <v>538</v>
      </c>
      <c r="I119" s="17" t="s">
        <v>91</v>
      </c>
      <c r="J119" s="17" t="s">
        <v>539</v>
      </c>
    </row>
    <row r="120" customFormat="false" ht="15" hidden="false" customHeight="true" outlineLevel="0" collapsed="false">
      <c r="A120" s="17" t="n">
        <v>492</v>
      </c>
      <c r="B120" s="17" t="s">
        <v>535</v>
      </c>
      <c r="C120" s="17" t="s">
        <v>745</v>
      </c>
      <c r="D120" s="17" t="s">
        <v>746</v>
      </c>
      <c r="E120" s="17" t="s">
        <v>135</v>
      </c>
      <c r="F120" s="17" t="s">
        <v>89</v>
      </c>
      <c r="G120" s="17" t="s">
        <v>325</v>
      </c>
      <c r="H120" s="17" t="s">
        <v>538</v>
      </c>
      <c r="I120" s="17" t="s">
        <v>91</v>
      </c>
      <c r="J120" s="17" t="s">
        <v>539</v>
      </c>
    </row>
    <row r="121" customFormat="false" ht="15" hidden="false" customHeight="true" outlineLevel="0" collapsed="false">
      <c r="A121" s="17" t="n">
        <v>451</v>
      </c>
      <c r="B121" s="17" t="s">
        <v>535</v>
      </c>
      <c r="C121" s="17" t="s">
        <v>747</v>
      </c>
      <c r="D121" s="17" t="s">
        <v>748</v>
      </c>
      <c r="E121" s="17" t="s">
        <v>135</v>
      </c>
      <c r="F121" s="17" t="s">
        <v>422</v>
      </c>
      <c r="G121" s="17" t="s">
        <v>325</v>
      </c>
      <c r="H121" s="17" t="s">
        <v>538</v>
      </c>
      <c r="I121" s="17" t="s">
        <v>91</v>
      </c>
      <c r="J121" s="17" t="s">
        <v>539</v>
      </c>
    </row>
    <row r="122" customFormat="false" ht="15" hidden="false" customHeight="true" outlineLevel="0" collapsed="false">
      <c r="A122" s="17" t="n">
        <v>450</v>
      </c>
      <c r="B122" s="17" t="s">
        <v>535</v>
      </c>
      <c r="C122" s="17" t="s">
        <v>749</v>
      </c>
      <c r="D122" s="17" t="s">
        <v>750</v>
      </c>
      <c r="E122" s="17" t="s">
        <v>135</v>
      </c>
      <c r="F122" s="17" t="s">
        <v>14</v>
      </c>
      <c r="G122" s="17" t="s">
        <v>325</v>
      </c>
      <c r="H122" s="17" t="s">
        <v>538</v>
      </c>
      <c r="I122" s="17" t="s">
        <v>91</v>
      </c>
      <c r="J122" s="17" t="s">
        <v>539</v>
      </c>
    </row>
    <row r="123" customFormat="false" ht="15" hidden="false" customHeight="true" outlineLevel="0" collapsed="false">
      <c r="A123" s="17" t="n">
        <v>448</v>
      </c>
      <c r="B123" s="17" t="s">
        <v>535</v>
      </c>
      <c r="C123" s="17" t="s">
        <v>751</v>
      </c>
      <c r="D123" s="17" t="s">
        <v>752</v>
      </c>
      <c r="E123" s="17" t="s">
        <v>135</v>
      </c>
      <c r="F123" s="17" t="s">
        <v>20</v>
      </c>
      <c r="G123" s="17" t="s">
        <v>325</v>
      </c>
      <c r="H123" s="17" t="s">
        <v>538</v>
      </c>
      <c r="I123" s="17" t="s">
        <v>91</v>
      </c>
      <c r="J123" s="17" t="s">
        <v>539</v>
      </c>
    </row>
    <row r="124" customFormat="false" ht="15" hidden="false" customHeight="true" outlineLevel="0" collapsed="false">
      <c r="A124" s="17" t="n">
        <v>449</v>
      </c>
      <c r="B124" s="17" t="s">
        <v>535</v>
      </c>
      <c r="C124" s="17" t="s">
        <v>753</v>
      </c>
      <c r="D124" s="17" t="s">
        <v>754</v>
      </c>
      <c r="E124" s="17" t="s">
        <v>135</v>
      </c>
      <c r="F124" s="17" t="s">
        <v>71</v>
      </c>
      <c r="G124" s="17" t="s">
        <v>325</v>
      </c>
      <c r="H124" s="17" t="s">
        <v>538</v>
      </c>
      <c r="I124" s="17" t="s">
        <v>91</v>
      </c>
      <c r="J124" s="17" t="s">
        <v>539</v>
      </c>
    </row>
    <row r="125" customFormat="false" ht="15" hidden="false" customHeight="true" outlineLevel="0" collapsed="false">
      <c r="A125" s="17" t="n">
        <v>495</v>
      </c>
      <c r="B125" s="17" t="s">
        <v>535</v>
      </c>
      <c r="C125" s="17" t="s">
        <v>755</v>
      </c>
      <c r="D125" s="17" t="s">
        <v>756</v>
      </c>
      <c r="E125" s="17" t="s">
        <v>135</v>
      </c>
      <c r="F125" s="17" t="s">
        <v>26</v>
      </c>
      <c r="G125" s="17" t="s">
        <v>325</v>
      </c>
      <c r="H125" s="17" t="s">
        <v>538</v>
      </c>
      <c r="I125" s="17" t="s">
        <v>91</v>
      </c>
      <c r="J125" s="17" t="s">
        <v>539</v>
      </c>
    </row>
    <row r="126" customFormat="false" ht="15" hidden="false" customHeight="true" outlineLevel="0" collapsed="false">
      <c r="A126" s="17" t="n">
        <v>462</v>
      </c>
      <c r="B126" s="17" t="s">
        <v>535</v>
      </c>
      <c r="C126" s="17" t="s">
        <v>757</v>
      </c>
      <c r="D126" s="17" t="s">
        <v>758</v>
      </c>
      <c r="E126" s="17" t="s">
        <v>135</v>
      </c>
      <c r="F126" s="17" t="s">
        <v>29</v>
      </c>
      <c r="G126" s="17" t="s">
        <v>325</v>
      </c>
      <c r="H126" s="17" t="s">
        <v>538</v>
      </c>
      <c r="I126" s="17" t="s">
        <v>91</v>
      </c>
      <c r="J126" s="17" t="s">
        <v>539</v>
      </c>
    </row>
    <row r="127" customFormat="false" ht="15" hidden="false" customHeight="true" outlineLevel="0" collapsed="false">
      <c r="A127" s="17" t="n">
        <v>1600</v>
      </c>
      <c r="B127" s="17" t="s">
        <v>696</v>
      </c>
      <c r="C127" s="17" t="s">
        <v>759</v>
      </c>
      <c r="D127" s="17" t="s">
        <v>760</v>
      </c>
      <c r="E127" s="17" t="s">
        <v>135</v>
      </c>
      <c r="F127" s="17" t="s">
        <v>32</v>
      </c>
      <c r="G127" s="17" t="s">
        <v>344</v>
      </c>
      <c r="H127" s="17" t="s">
        <v>699</v>
      </c>
      <c r="I127" s="17" t="s">
        <v>91</v>
      </c>
      <c r="J127" s="17" t="s">
        <v>539</v>
      </c>
    </row>
    <row r="128" customFormat="false" ht="15" hidden="false" customHeight="true" outlineLevel="0" collapsed="false">
      <c r="A128" s="17" t="n">
        <v>1028</v>
      </c>
      <c r="B128" s="17" t="s">
        <v>540</v>
      </c>
      <c r="C128" s="17" t="s">
        <v>546</v>
      </c>
      <c r="D128" s="17" t="s">
        <v>761</v>
      </c>
      <c r="E128" s="17" t="s">
        <v>135</v>
      </c>
      <c r="F128" s="17" t="s">
        <v>35</v>
      </c>
      <c r="G128" s="17" t="s">
        <v>330</v>
      </c>
      <c r="H128" s="17" t="s">
        <v>331</v>
      </c>
      <c r="I128" s="17" t="s">
        <v>91</v>
      </c>
      <c r="J128" s="17" t="s">
        <v>539</v>
      </c>
    </row>
    <row r="129" customFormat="false" ht="15" hidden="false" customHeight="true" outlineLevel="0" collapsed="false">
      <c r="A129" s="17" t="n">
        <v>1328</v>
      </c>
      <c r="B129" s="17" t="s">
        <v>540</v>
      </c>
      <c r="C129" s="17" t="s">
        <v>571</v>
      </c>
      <c r="D129" s="17" t="s">
        <v>762</v>
      </c>
      <c r="E129" s="17" t="s">
        <v>135</v>
      </c>
      <c r="F129" s="17" t="s">
        <v>45</v>
      </c>
      <c r="G129" s="17" t="s">
        <v>330</v>
      </c>
      <c r="H129" s="17" t="s">
        <v>331</v>
      </c>
      <c r="I129" s="17" t="s">
        <v>91</v>
      </c>
      <c r="J129" s="17" t="s">
        <v>539</v>
      </c>
    </row>
    <row r="130" customFormat="false" ht="15" hidden="false" customHeight="true" outlineLevel="0" collapsed="false">
      <c r="A130" s="17" t="n">
        <v>1153</v>
      </c>
      <c r="B130" s="17" t="s">
        <v>540</v>
      </c>
      <c r="C130" s="17" t="s">
        <v>653</v>
      </c>
      <c r="D130" s="17" t="s">
        <v>763</v>
      </c>
      <c r="E130" s="17" t="s">
        <v>135</v>
      </c>
      <c r="F130" s="17" t="s">
        <v>53</v>
      </c>
      <c r="G130" s="17" t="s">
        <v>330</v>
      </c>
      <c r="H130" s="17" t="s">
        <v>331</v>
      </c>
      <c r="I130" s="17" t="s">
        <v>91</v>
      </c>
      <c r="J130" s="17" t="s">
        <v>539</v>
      </c>
    </row>
    <row r="131" customFormat="false" ht="15" hidden="false" customHeight="true" outlineLevel="0" collapsed="false">
      <c r="A131" s="17" t="n">
        <v>977</v>
      </c>
      <c r="B131" s="17" t="s">
        <v>540</v>
      </c>
      <c r="C131" s="17" t="s">
        <v>561</v>
      </c>
      <c r="D131" s="17" t="s">
        <v>764</v>
      </c>
      <c r="E131" s="17" t="s">
        <v>135</v>
      </c>
      <c r="F131" s="17" t="s">
        <v>610</v>
      </c>
      <c r="G131" s="17" t="s">
        <v>330</v>
      </c>
      <c r="H131" s="17" t="s">
        <v>331</v>
      </c>
      <c r="I131" s="17" t="s">
        <v>91</v>
      </c>
      <c r="J131" s="17" t="s">
        <v>539</v>
      </c>
    </row>
    <row r="132" customFormat="false" ht="15" hidden="false" customHeight="true" outlineLevel="0" collapsed="false">
      <c r="A132" s="17" t="n">
        <v>729</v>
      </c>
      <c r="B132" s="17" t="s">
        <v>540</v>
      </c>
      <c r="C132" s="17" t="s">
        <v>543</v>
      </c>
      <c r="D132" s="17" t="s">
        <v>765</v>
      </c>
      <c r="E132" s="17" t="s">
        <v>135</v>
      </c>
      <c r="F132" s="17" t="s">
        <v>56</v>
      </c>
      <c r="G132" s="17" t="s">
        <v>545</v>
      </c>
      <c r="H132" s="17" t="s">
        <v>331</v>
      </c>
      <c r="I132" s="17" t="s">
        <v>91</v>
      </c>
      <c r="J132" s="17" t="s">
        <v>539</v>
      </c>
    </row>
    <row r="133" customFormat="false" ht="15" hidden="false" customHeight="true" outlineLevel="0" collapsed="false">
      <c r="A133" s="17" t="n">
        <v>1168</v>
      </c>
      <c r="B133" s="17" t="s">
        <v>540</v>
      </c>
      <c r="C133" s="17" t="s">
        <v>653</v>
      </c>
      <c r="D133" s="17" t="s">
        <v>766</v>
      </c>
      <c r="E133" s="17" t="s">
        <v>135</v>
      </c>
      <c r="F133" s="17" t="s">
        <v>614</v>
      </c>
      <c r="G133" s="17" t="s">
        <v>330</v>
      </c>
      <c r="H133" s="17" t="s">
        <v>331</v>
      </c>
      <c r="I133" s="17" t="s">
        <v>91</v>
      </c>
      <c r="J133" s="17" t="s">
        <v>539</v>
      </c>
    </row>
    <row r="134" customFormat="false" ht="15" hidden="false" customHeight="true" outlineLevel="0" collapsed="false">
      <c r="A134" s="17" t="n">
        <v>1321</v>
      </c>
      <c r="B134" s="17" t="s">
        <v>540</v>
      </c>
      <c r="C134" s="17" t="s">
        <v>571</v>
      </c>
      <c r="D134" s="17" t="s">
        <v>767</v>
      </c>
      <c r="E134" s="17" t="s">
        <v>135</v>
      </c>
      <c r="F134" s="17" t="s">
        <v>616</v>
      </c>
      <c r="G134" s="17" t="s">
        <v>330</v>
      </c>
      <c r="H134" s="17" t="s">
        <v>331</v>
      </c>
      <c r="I134" s="17" t="s">
        <v>91</v>
      </c>
      <c r="J134" s="17" t="s">
        <v>539</v>
      </c>
    </row>
    <row r="135" customFormat="false" ht="15" hidden="false" customHeight="true" outlineLevel="0" collapsed="false">
      <c r="A135" s="17" t="n">
        <v>726</v>
      </c>
      <c r="B135" s="17" t="s">
        <v>540</v>
      </c>
      <c r="C135" s="17" t="s">
        <v>543</v>
      </c>
      <c r="D135" s="17" t="s">
        <v>768</v>
      </c>
      <c r="E135" s="17" t="s">
        <v>135</v>
      </c>
      <c r="F135" s="17" t="s">
        <v>618</v>
      </c>
      <c r="G135" s="17" t="s">
        <v>545</v>
      </c>
      <c r="H135" s="17" t="s">
        <v>331</v>
      </c>
      <c r="I135" s="17" t="s">
        <v>91</v>
      </c>
      <c r="J135" s="17" t="s">
        <v>539</v>
      </c>
    </row>
    <row r="136" customFormat="false" ht="15" hidden="false" customHeight="true" outlineLevel="0" collapsed="false">
      <c r="A136" s="17" t="n">
        <v>1015</v>
      </c>
      <c r="B136" s="17" t="s">
        <v>540</v>
      </c>
      <c r="C136" s="17" t="s">
        <v>546</v>
      </c>
      <c r="D136" s="17" t="s">
        <v>769</v>
      </c>
      <c r="E136" s="17" t="s">
        <v>135</v>
      </c>
      <c r="F136" s="17" t="s">
        <v>620</v>
      </c>
      <c r="G136" s="17" t="s">
        <v>330</v>
      </c>
      <c r="H136" s="17" t="s">
        <v>331</v>
      </c>
      <c r="I136" s="17" t="s">
        <v>91</v>
      </c>
      <c r="J136" s="17" t="s">
        <v>539</v>
      </c>
    </row>
    <row r="137" customFormat="false" ht="15" hidden="false" customHeight="true" outlineLevel="0" collapsed="false">
      <c r="A137" s="17" t="n">
        <v>1237</v>
      </c>
      <c r="B137" s="17" t="s">
        <v>540</v>
      </c>
      <c r="C137" s="17" t="s">
        <v>559</v>
      </c>
      <c r="D137" s="17" t="s">
        <v>770</v>
      </c>
      <c r="E137" s="17" t="s">
        <v>135</v>
      </c>
      <c r="F137" s="17" t="s">
        <v>622</v>
      </c>
      <c r="G137" s="17" t="s">
        <v>330</v>
      </c>
      <c r="H137" s="17" t="s">
        <v>331</v>
      </c>
      <c r="I137" s="17" t="s">
        <v>91</v>
      </c>
      <c r="J137" s="17" t="s">
        <v>539</v>
      </c>
    </row>
    <row r="138" customFormat="false" ht="15" hidden="false" customHeight="true" outlineLevel="0" collapsed="false">
      <c r="A138" s="17" t="n">
        <v>808</v>
      </c>
      <c r="B138" s="17" t="s">
        <v>540</v>
      </c>
      <c r="C138" s="17" t="s">
        <v>660</v>
      </c>
      <c r="D138" s="17" t="s">
        <v>771</v>
      </c>
      <c r="E138" s="17" t="s">
        <v>135</v>
      </c>
      <c r="F138" s="17" t="s">
        <v>624</v>
      </c>
      <c r="G138" s="17" t="s">
        <v>330</v>
      </c>
      <c r="H138" s="17" t="s">
        <v>331</v>
      </c>
      <c r="I138" s="17" t="s">
        <v>91</v>
      </c>
      <c r="J138" s="17" t="s">
        <v>539</v>
      </c>
    </row>
    <row r="139" customFormat="false" ht="15" hidden="false" customHeight="true" outlineLevel="0" collapsed="false">
      <c r="A139" s="17" t="n">
        <v>699</v>
      </c>
      <c r="B139" s="17" t="s">
        <v>540</v>
      </c>
      <c r="C139" s="17" t="s">
        <v>543</v>
      </c>
      <c r="D139" s="17" t="s">
        <v>772</v>
      </c>
      <c r="E139" s="17" t="s">
        <v>135</v>
      </c>
      <c r="F139" s="17" t="s">
        <v>627</v>
      </c>
      <c r="G139" s="17" t="s">
        <v>545</v>
      </c>
      <c r="H139" s="17" t="s">
        <v>331</v>
      </c>
      <c r="I139" s="17" t="s">
        <v>91</v>
      </c>
      <c r="J139" s="17" t="s">
        <v>539</v>
      </c>
    </row>
    <row r="140" customFormat="false" ht="15" hidden="false" customHeight="true" outlineLevel="0" collapsed="false">
      <c r="A140" s="17" t="n">
        <v>1144</v>
      </c>
      <c r="B140" s="17" t="s">
        <v>540</v>
      </c>
      <c r="C140" s="17" t="s">
        <v>653</v>
      </c>
      <c r="D140" s="17" t="s">
        <v>773</v>
      </c>
      <c r="E140" s="17" t="s">
        <v>135</v>
      </c>
      <c r="F140" s="17" t="s">
        <v>163</v>
      </c>
      <c r="G140" s="17" t="s">
        <v>330</v>
      </c>
      <c r="H140" s="17" t="s">
        <v>331</v>
      </c>
      <c r="I140" s="17" t="s">
        <v>91</v>
      </c>
      <c r="J140" s="17" t="s">
        <v>539</v>
      </c>
    </row>
    <row r="141" customFormat="false" ht="15" hidden="false" customHeight="true" outlineLevel="0" collapsed="false">
      <c r="A141" s="17" t="n">
        <v>1330</v>
      </c>
      <c r="B141" s="17" t="s">
        <v>540</v>
      </c>
      <c r="C141" s="17" t="s">
        <v>571</v>
      </c>
      <c r="D141" s="17" t="s">
        <v>774</v>
      </c>
      <c r="E141" s="17" t="s">
        <v>135</v>
      </c>
      <c r="F141" s="17" t="s">
        <v>424</v>
      </c>
      <c r="G141" s="17" t="s">
        <v>330</v>
      </c>
      <c r="H141" s="17" t="s">
        <v>331</v>
      </c>
      <c r="I141" s="17" t="s">
        <v>91</v>
      </c>
      <c r="J141" s="17" t="s">
        <v>539</v>
      </c>
    </row>
    <row r="142" customFormat="false" ht="15" hidden="false" customHeight="true" outlineLevel="0" collapsed="false">
      <c r="A142" s="17" t="n">
        <v>1243</v>
      </c>
      <c r="B142" s="17" t="s">
        <v>540</v>
      </c>
      <c r="C142" s="17" t="s">
        <v>559</v>
      </c>
      <c r="D142" s="17" t="s">
        <v>775</v>
      </c>
      <c r="E142" s="17" t="s">
        <v>135</v>
      </c>
      <c r="F142" s="17" t="s">
        <v>195</v>
      </c>
      <c r="G142" s="17" t="s">
        <v>330</v>
      </c>
      <c r="H142" s="17" t="s">
        <v>331</v>
      </c>
      <c r="I142" s="17" t="s">
        <v>91</v>
      </c>
      <c r="J142" s="17" t="s">
        <v>539</v>
      </c>
    </row>
    <row r="143" customFormat="false" ht="15" hidden="false" customHeight="true" outlineLevel="0" collapsed="false">
      <c r="A143" s="17" t="n">
        <v>1198</v>
      </c>
      <c r="B143" s="17" t="s">
        <v>540</v>
      </c>
      <c r="C143" s="17" t="s">
        <v>776</v>
      </c>
      <c r="D143" s="17" t="s">
        <v>777</v>
      </c>
      <c r="E143" s="17" t="s">
        <v>135</v>
      </c>
      <c r="F143" s="17" t="s">
        <v>426</v>
      </c>
      <c r="G143" s="17" t="s">
        <v>330</v>
      </c>
      <c r="H143" s="17" t="s">
        <v>331</v>
      </c>
      <c r="I143" s="17" t="s">
        <v>91</v>
      </c>
      <c r="J143" s="17" t="s">
        <v>539</v>
      </c>
    </row>
    <row r="144" customFormat="false" ht="15" hidden="false" customHeight="true" outlineLevel="0" collapsed="false">
      <c r="A144" s="17" t="n">
        <v>1102</v>
      </c>
      <c r="B144" s="17" t="s">
        <v>540</v>
      </c>
      <c r="C144" s="17" t="s">
        <v>778</v>
      </c>
      <c r="D144" s="17" t="s">
        <v>779</v>
      </c>
      <c r="E144" s="17" t="s">
        <v>135</v>
      </c>
      <c r="F144" s="17" t="s">
        <v>780</v>
      </c>
      <c r="G144" s="17" t="s">
        <v>330</v>
      </c>
      <c r="H144" s="17" t="s">
        <v>331</v>
      </c>
      <c r="I144" s="17" t="s">
        <v>91</v>
      </c>
      <c r="J144" s="17" t="s">
        <v>539</v>
      </c>
    </row>
    <row r="145" customFormat="false" ht="15" hidden="false" customHeight="true" outlineLevel="0" collapsed="false">
      <c r="A145" s="17" t="n">
        <v>1332</v>
      </c>
      <c r="B145" s="17" t="s">
        <v>540</v>
      </c>
      <c r="C145" s="17" t="s">
        <v>571</v>
      </c>
      <c r="D145" s="17" t="s">
        <v>781</v>
      </c>
      <c r="E145" s="17" t="s">
        <v>135</v>
      </c>
      <c r="F145" s="17" t="s">
        <v>782</v>
      </c>
      <c r="G145" s="17" t="s">
        <v>330</v>
      </c>
      <c r="H145" s="17" t="s">
        <v>331</v>
      </c>
      <c r="I145" s="17" t="s">
        <v>592</v>
      </c>
      <c r="J145" s="17" t="s">
        <v>539</v>
      </c>
    </row>
    <row r="146" customFormat="false" ht="15" hidden="false" customHeight="true" outlineLevel="0" collapsed="false">
      <c r="A146" s="17" t="n">
        <v>1323</v>
      </c>
      <c r="B146" s="17" t="s">
        <v>540</v>
      </c>
      <c r="C146" s="17" t="s">
        <v>571</v>
      </c>
      <c r="D146" s="17" t="s">
        <v>783</v>
      </c>
      <c r="E146" s="17" t="s">
        <v>135</v>
      </c>
      <c r="F146" s="17" t="s">
        <v>784</v>
      </c>
      <c r="G146" s="17" t="s">
        <v>330</v>
      </c>
      <c r="H146" s="17" t="s">
        <v>331</v>
      </c>
      <c r="I146" s="17" t="s">
        <v>91</v>
      </c>
      <c r="J146" s="17" t="s">
        <v>539</v>
      </c>
    </row>
    <row r="147" customFormat="false" ht="15" hidden="false" customHeight="true" outlineLevel="0" collapsed="false">
      <c r="A147" s="17" t="n">
        <v>1322</v>
      </c>
      <c r="B147" s="17" t="s">
        <v>540</v>
      </c>
      <c r="C147" s="17" t="s">
        <v>571</v>
      </c>
      <c r="D147" s="17" t="s">
        <v>785</v>
      </c>
      <c r="E147" s="17" t="s">
        <v>135</v>
      </c>
      <c r="F147" s="17" t="s">
        <v>786</v>
      </c>
      <c r="G147" s="17" t="s">
        <v>330</v>
      </c>
      <c r="H147" s="17" t="s">
        <v>331</v>
      </c>
      <c r="I147" s="17" t="s">
        <v>91</v>
      </c>
      <c r="J147" s="17" t="s">
        <v>539</v>
      </c>
    </row>
    <row r="148" customFormat="false" ht="15" hidden="false" customHeight="true" outlineLevel="0" collapsed="false">
      <c r="A148" s="17" t="n">
        <v>1324</v>
      </c>
      <c r="B148" s="17" t="s">
        <v>540</v>
      </c>
      <c r="C148" s="17" t="s">
        <v>571</v>
      </c>
      <c r="D148" s="17" t="s">
        <v>787</v>
      </c>
      <c r="E148" s="17" t="s">
        <v>135</v>
      </c>
      <c r="F148" s="17" t="s">
        <v>427</v>
      </c>
      <c r="G148" s="17" t="s">
        <v>330</v>
      </c>
      <c r="H148" s="17" t="s">
        <v>331</v>
      </c>
      <c r="I148" s="17" t="s">
        <v>91</v>
      </c>
      <c r="J148" s="17" t="s">
        <v>539</v>
      </c>
    </row>
    <row r="149" customFormat="false" ht="15" hidden="false" customHeight="true" outlineLevel="0" collapsed="false">
      <c r="A149" s="17" t="n">
        <v>894</v>
      </c>
      <c r="B149" s="17" t="s">
        <v>540</v>
      </c>
      <c r="C149" s="17" t="s">
        <v>632</v>
      </c>
      <c r="D149" s="17" t="s">
        <v>788</v>
      </c>
      <c r="E149" s="17" t="s">
        <v>135</v>
      </c>
      <c r="F149" s="17" t="s">
        <v>428</v>
      </c>
      <c r="G149" s="17" t="s">
        <v>330</v>
      </c>
      <c r="H149" s="17" t="s">
        <v>331</v>
      </c>
      <c r="I149" s="17" t="s">
        <v>592</v>
      </c>
      <c r="J149" s="17" t="s">
        <v>539</v>
      </c>
    </row>
    <row r="150" customFormat="false" ht="15" hidden="false" customHeight="true" outlineLevel="0" collapsed="false">
      <c r="A150" s="17" t="n">
        <v>1105</v>
      </c>
      <c r="B150" s="17" t="s">
        <v>540</v>
      </c>
      <c r="C150" s="17" t="s">
        <v>541</v>
      </c>
      <c r="D150" s="17" t="s">
        <v>789</v>
      </c>
      <c r="E150" s="17" t="s">
        <v>135</v>
      </c>
      <c r="F150" s="17" t="s">
        <v>429</v>
      </c>
      <c r="G150" s="17" t="s">
        <v>330</v>
      </c>
      <c r="H150" s="17" t="s">
        <v>331</v>
      </c>
      <c r="I150" s="17" t="s">
        <v>91</v>
      </c>
      <c r="J150" s="17" t="s">
        <v>539</v>
      </c>
    </row>
    <row r="151" customFormat="false" ht="15" hidden="false" customHeight="true" outlineLevel="0" collapsed="false">
      <c r="A151" s="17" t="n">
        <v>1202</v>
      </c>
      <c r="B151" s="17" t="s">
        <v>540</v>
      </c>
      <c r="C151" s="17" t="s">
        <v>557</v>
      </c>
      <c r="D151" s="17" t="s">
        <v>790</v>
      </c>
      <c r="E151" s="17" t="s">
        <v>135</v>
      </c>
      <c r="F151" s="17" t="s">
        <v>430</v>
      </c>
      <c r="G151" s="17" t="s">
        <v>330</v>
      </c>
      <c r="H151" s="17" t="s">
        <v>331</v>
      </c>
      <c r="I151" s="17" t="s">
        <v>91</v>
      </c>
      <c r="J151" s="17" t="s">
        <v>539</v>
      </c>
    </row>
    <row r="152" customFormat="false" ht="15" hidden="false" customHeight="true" outlineLevel="0" collapsed="false">
      <c r="A152" s="17" t="n">
        <v>1454</v>
      </c>
      <c r="B152" s="17" t="s">
        <v>635</v>
      </c>
      <c r="C152" s="17" t="s">
        <v>791</v>
      </c>
      <c r="D152" s="17" t="s">
        <v>792</v>
      </c>
      <c r="E152" s="17" t="s">
        <v>135</v>
      </c>
      <c r="F152" s="17" t="s">
        <v>638</v>
      </c>
      <c r="G152" s="17" t="s">
        <v>380</v>
      </c>
      <c r="H152" s="17" t="s">
        <v>381</v>
      </c>
      <c r="I152" s="17" t="s">
        <v>592</v>
      </c>
      <c r="J152" s="17" t="s">
        <v>539</v>
      </c>
    </row>
    <row r="153" customFormat="false" ht="15" hidden="false" customHeight="true" outlineLevel="0" collapsed="false">
      <c r="A153" s="17" t="n">
        <v>1456</v>
      </c>
      <c r="B153" s="17" t="s">
        <v>635</v>
      </c>
      <c r="C153" s="17" t="s">
        <v>793</v>
      </c>
      <c r="D153" s="17" t="s">
        <v>794</v>
      </c>
      <c r="E153" s="17" t="s">
        <v>135</v>
      </c>
      <c r="F153" s="17" t="s">
        <v>641</v>
      </c>
      <c r="G153" s="17" t="s">
        <v>380</v>
      </c>
      <c r="H153" s="17" t="s">
        <v>381</v>
      </c>
      <c r="I153" s="17" t="s">
        <v>592</v>
      </c>
      <c r="J153" s="17" t="s">
        <v>539</v>
      </c>
    </row>
    <row r="154" customFormat="false" ht="15" hidden="false" customHeight="true" outlineLevel="0" collapsed="false">
      <c r="A154" s="17" t="n">
        <v>1453</v>
      </c>
      <c r="B154" s="17" t="s">
        <v>635</v>
      </c>
      <c r="C154" s="17" t="s">
        <v>795</v>
      </c>
      <c r="D154" s="17" t="s">
        <v>796</v>
      </c>
      <c r="E154" s="17" t="s">
        <v>135</v>
      </c>
      <c r="F154" s="17" t="s">
        <v>644</v>
      </c>
      <c r="G154" s="17" t="s">
        <v>380</v>
      </c>
      <c r="H154" s="17" t="s">
        <v>381</v>
      </c>
      <c r="I154" s="17" t="s">
        <v>592</v>
      </c>
      <c r="J154" s="17" t="s">
        <v>539</v>
      </c>
    </row>
    <row r="155" customFormat="false" ht="15" hidden="false" customHeight="true" outlineLevel="0" collapsed="false">
      <c r="A155" s="17" t="n">
        <v>1449</v>
      </c>
      <c r="B155" s="17" t="s">
        <v>635</v>
      </c>
      <c r="C155" s="17" t="s">
        <v>797</v>
      </c>
      <c r="D155" s="17" t="s">
        <v>798</v>
      </c>
      <c r="E155" s="17" t="s">
        <v>135</v>
      </c>
      <c r="F155" s="17" t="s">
        <v>434</v>
      </c>
      <c r="G155" s="17" t="s">
        <v>380</v>
      </c>
      <c r="H155" s="17" t="s">
        <v>381</v>
      </c>
      <c r="I155" s="17" t="s">
        <v>592</v>
      </c>
      <c r="J155" s="17" t="s">
        <v>539</v>
      </c>
    </row>
    <row r="156" customFormat="false" ht="15" hidden="false" customHeight="true" outlineLevel="0" collapsed="false">
      <c r="A156" s="17" t="n">
        <v>1448</v>
      </c>
      <c r="B156" s="17" t="s">
        <v>635</v>
      </c>
      <c r="C156" s="17" t="s">
        <v>799</v>
      </c>
      <c r="D156" s="17" t="s">
        <v>800</v>
      </c>
      <c r="E156" s="17" t="s">
        <v>135</v>
      </c>
      <c r="F156" s="17" t="s">
        <v>435</v>
      </c>
      <c r="G156" s="17" t="s">
        <v>380</v>
      </c>
      <c r="H156" s="17" t="s">
        <v>381</v>
      </c>
      <c r="I156" s="17" t="s">
        <v>592</v>
      </c>
      <c r="J156" s="17" t="s">
        <v>539</v>
      </c>
    </row>
    <row r="157" customFormat="false" ht="15" hidden="false" customHeight="true" outlineLevel="0" collapsed="false">
      <c r="A157" s="17" t="n">
        <v>1452</v>
      </c>
      <c r="B157" s="17" t="s">
        <v>635</v>
      </c>
      <c r="C157" s="17" t="s">
        <v>801</v>
      </c>
      <c r="D157" s="17" t="s">
        <v>802</v>
      </c>
      <c r="E157" s="17" t="s">
        <v>135</v>
      </c>
      <c r="F157" s="17" t="s">
        <v>436</v>
      </c>
      <c r="G157" s="17" t="s">
        <v>380</v>
      </c>
      <c r="H157" s="17" t="s">
        <v>381</v>
      </c>
      <c r="I157" s="17" t="s">
        <v>592</v>
      </c>
      <c r="J157" s="17" t="s">
        <v>539</v>
      </c>
    </row>
    <row r="158" customFormat="false" ht="15" hidden="false" customHeight="true" outlineLevel="0" collapsed="false">
      <c r="A158" s="17" t="n">
        <v>1451</v>
      </c>
      <c r="B158" s="17" t="s">
        <v>635</v>
      </c>
      <c r="C158" s="17" t="s">
        <v>803</v>
      </c>
      <c r="D158" s="17" t="s">
        <v>804</v>
      </c>
      <c r="E158" s="17" t="s">
        <v>135</v>
      </c>
      <c r="F158" s="17" t="s">
        <v>437</v>
      </c>
      <c r="G158" s="17" t="s">
        <v>380</v>
      </c>
      <c r="H158" s="17" t="s">
        <v>381</v>
      </c>
      <c r="I158" s="17" t="s">
        <v>592</v>
      </c>
      <c r="J158" s="17" t="s">
        <v>539</v>
      </c>
    </row>
    <row r="159" customFormat="false" ht="15" hidden="false" customHeight="true" outlineLevel="0" collapsed="false">
      <c r="A159" s="17" t="n">
        <v>1385</v>
      </c>
      <c r="B159" s="17" t="s">
        <v>540</v>
      </c>
      <c r="C159" s="17" t="s">
        <v>805</v>
      </c>
      <c r="D159" s="17" t="s">
        <v>806</v>
      </c>
      <c r="E159" s="17" t="s">
        <v>135</v>
      </c>
      <c r="F159" s="17" t="s">
        <v>442</v>
      </c>
      <c r="G159" s="17" t="s">
        <v>330</v>
      </c>
      <c r="H159" s="17" t="s">
        <v>331</v>
      </c>
      <c r="I159" s="17" t="s">
        <v>91</v>
      </c>
      <c r="J159" s="17" t="s">
        <v>539</v>
      </c>
    </row>
    <row r="160" customFormat="false" ht="15" hidden="false" customHeight="true" outlineLevel="0" collapsed="false">
      <c r="A160" s="17" t="n">
        <v>696</v>
      </c>
      <c r="B160" s="17" t="s">
        <v>540</v>
      </c>
      <c r="C160" s="17" t="s">
        <v>543</v>
      </c>
      <c r="D160" s="17" t="s">
        <v>807</v>
      </c>
      <c r="E160" s="17" t="s">
        <v>135</v>
      </c>
      <c r="F160" s="17" t="s">
        <v>338</v>
      </c>
      <c r="G160" s="17" t="s">
        <v>545</v>
      </c>
      <c r="H160" s="17" t="s">
        <v>331</v>
      </c>
      <c r="I160" s="17" t="s">
        <v>91</v>
      </c>
      <c r="J160" s="17" t="s">
        <v>539</v>
      </c>
    </row>
    <row r="161" customFormat="false" ht="15" hidden="false" customHeight="true" outlineLevel="0" collapsed="false">
      <c r="A161" s="17" t="n">
        <v>1193</v>
      </c>
      <c r="B161" s="17" t="s">
        <v>540</v>
      </c>
      <c r="C161" s="17" t="s">
        <v>808</v>
      </c>
      <c r="D161" s="17" t="s">
        <v>809</v>
      </c>
      <c r="E161" s="17" t="s">
        <v>135</v>
      </c>
      <c r="F161" s="17" t="s">
        <v>656</v>
      </c>
      <c r="G161" s="17" t="s">
        <v>330</v>
      </c>
      <c r="H161" s="17" t="s">
        <v>331</v>
      </c>
      <c r="I161" s="17" t="s">
        <v>592</v>
      </c>
      <c r="J161" s="17" t="s">
        <v>539</v>
      </c>
    </row>
    <row r="162" customFormat="false" ht="15" hidden="false" customHeight="true" outlineLevel="0" collapsed="false">
      <c r="A162" s="17" t="n">
        <v>1326</v>
      </c>
      <c r="B162" s="17" t="s">
        <v>540</v>
      </c>
      <c r="C162" s="17" t="s">
        <v>571</v>
      </c>
      <c r="D162" s="17" t="s">
        <v>810</v>
      </c>
      <c r="E162" s="17" t="s">
        <v>135</v>
      </c>
      <c r="F162" s="17" t="s">
        <v>99</v>
      </c>
      <c r="G162" s="17" t="s">
        <v>330</v>
      </c>
      <c r="H162" s="17" t="s">
        <v>331</v>
      </c>
      <c r="I162" s="17" t="s">
        <v>91</v>
      </c>
      <c r="J162" s="17" t="s">
        <v>539</v>
      </c>
    </row>
    <row r="163" customFormat="false" ht="15" hidden="false" customHeight="true" outlineLevel="0" collapsed="false">
      <c r="A163" s="17" t="n">
        <v>1047</v>
      </c>
      <c r="B163" s="17" t="s">
        <v>540</v>
      </c>
      <c r="C163" s="17" t="s">
        <v>546</v>
      </c>
      <c r="D163" s="17" t="s">
        <v>811</v>
      </c>
      <c r="E163" s="17" t="s">
        <v>135</v>
      </c>
      <c r="F163" s="17" t="s">
        <v>812</v>
      </c>
      <c r="G163" s="17" t="s">
        <v>330</v>
      </c>
      <c r="H163" s="17" t="s">
        <v>331</v>
      </c>
      <c r="I163" s="17" t="s">
        <v>91</v>
      </c>
      <c r="J163" s="17" t="s">
        <v>539</v>
      </c>
    </row>
    <row r="164" customFormat="false" ht="15" hidden="false" customHeight="true" outlineLevel="0" collapsed="false">
      <c r="A164" s="17" t="n">
        <v>975</v>
      </c>
      <c r="B164" s="17" t="s">
        <v>540</v>
      </c>
      <c r="C164" s="17" t="s">
        <v>561</v>
      </c>
      <c r="D164" s="17" t="s">
        <v>813</v>
      </c>
      <c r="E164" s="17" t="s">
        <v>135</v>
      </c>
      <c r="F164" s="17" t="s">
        <v>659</v>
      </c>
      <c r="G164" s="17" t="s">
        <v>330</v>
      </c>
      <c r="H164" s="17" t="s">
        <v>331</v>
      </c>
      <c r="I164" s="17" t="s">
        <v>91</v>
      </c>
      <c r="J164" s="17" t="s">
        <v>539</v>
      </c>
    </row>
    <row r="165" customFormat="false" ht="15" hidden="false" customHeight="true" outlineLevel="0" collapsed="false">
      <c r="A165" s="17" t="n">
        <v>724</v>
      </c>
      <c r="B165" s="17" t="s">
        <v>540</v>
      </c>
      <c r="C165" s="17" t="s">
        <v>543</v>
      </c>
      <c r="D165" s="17" t="s">
        <v>814</v>
      </c>
      <c r="E165" s="17" t="s">
        <v>135</v>
      </c>
      <c r="F165" s="17" t="s">
        <v>664</v>
      </c>
      <c r="G165" s="17" t="s">
        <v>545</v>
      </c>
      <c r="H165" s="17" t="s">
        <v>331</v>
      </c>
      <c r="I165" s="17" t="s">
        <v>91</v>
      </c>
      <c r="J165" s="17" t="s">
        <v>539</v>
      </c>
    </row>
    <row r="166" customFormat="false" ht="15" hidden="false" customHeight="true" outlineLevel="0" collapsed="false">
      <c r="A166" s="17" t="n">
        <v>984</v>
      </c>
      <c r="B166" s="17" t="s">
        <v>540</v>
      </c>
      <c r="C166" s="17" t="s">
        <v>561</v>
      </c>
      <c r="D166" s="17" t="s">
        <v>815</v>
      </c>
      <c r="E166" s="17" t="s">
        <v>135</v>
      </c>
      <c r="F166" s="17" t="s">
        <v>666</v>
      </c>
      <c r="G166" s="17" t="s">
        <v>330</v>
      </c>
      <c r="H166" s="17" t="s">
        <v>331</v>
      </c>
      <c r="I166" s="17" t="s">
        <v>91</v>
      </c>
      <c r="J166" s="17" t="s">
        <v>539</v>
      </c>
    </row>
    <row r="167" customFormat="false" ht="15" hidden="false" customHeight="true" outlineLevel="0" collapsed="false">
      <c r="A167" s="17" t="n">
        <v>728</v>
      </c>
      <c r="B167" s="17" t="s">
        <v>540</v>
      </c>
      <c r="C167" s="17" t="s">
        <v>543</v>
      </c>
      <c r="D167" s="17" t="s">
        <v>816</v>
      </c>
      <c r="E167" s="17" t="s">
        <v>135</v>
      </c>
      <c r="F167" s="17" t="s">
        <v>339</v>
      </c>
      <c r="G167" s="17" t="s">
        <v>545</v>
      </c>
      <c r="H167" s="17" t="s">
        <v>331</v>
      </c>
      <c r="I167" s="17" t="s">
        <v>91</v>
      </c>
      <c r="J167" s="17" t="s">
        <v>539</v>
      </c>
    </row>
    <row r="168" customFormat="false" ht="15" hidden="false" customHeight="true" outlineLevel="0" collapsed="false">
      <c r="A168" s="17" t="n">
        <v>1299</v>
      </c>
      <c r="B168" s="17" t="s">
        <v>540</v>
      </c>
      <c r="C168" s="17" t="s">
        <v>571</v>
      </c>
      <c r="D168" s="17" t="s">
        <v>817</v>
      </c>
      <c r="E168" s="17" t="s">
        <v>135</v>
      </c>
      <c r="F168" s="17" t="s">
        <v>668</v>
      </c>
      <c r="G168" s="17" t="s">
        <v>330</v>
      </c>
      <c r="H168" s="17" t="s">
        <v>331</v>
      </c>
      <c r="I168" s="17" t="s">
        <v>91</v>
      </c>
      <c r="J168" s="17" t="s">
        <v>539</v>
      </c>
    </row>
    <row r="169" customFormat="false" ht="15" hidden="false" customHeight="true" outlineLevel="0" collapsed="false">
      <c r="A169" s="17" t="n">
        <v>939</v>
      </c>
      <c r="B169" s="17" t="s">
        <v>540</v>
      </c>
      <c r="C169" s="17" t="s">
        <v>561</v>
      </c>
      <c r="D169" s="17" t="s">
        <v>818</v>
      </c>
      <c r="E169" s="17" t="s">
        <v>135</v>
      </c>
      <c r="F169" s="17" t="s">
        <v>670</v>
      </c>
      <c r="G169" s="17" t="s">
        <v>330</v>
      </c>
      <c r="H169" s="17" t="s">
        <v>331</v>
      </c>
      <c r="I169" s="17" t="s">
        <v>91</v>
      </c>
      <c r="J169" s="17" t="s">
        <v>539</v>
      </c>
    </row>
    <row r="170" customFormat="false" ht="15" hidden="false" customHeight="true" outlineLevel="0" collapsed="false">
      <c r="A170" s="17" t="n">
        <v>828</v>
      </c>
      <c r="B170" s="17" t="s">
        <v>540</v>
      </c>
      <c r="C170" s="17" t="s">
        <v>693</v>
      </c>
      <c r="D170" s="17" t="s">
        <v>819</v>
      </c>
      <c r="E170" s="17" t="s">
        <v>135</v>
      </c>
      <c r="F170" s="17" t="s">
        <v>341</v>
      </c>
      <c r="G170" s="17" t="s">
        <v>330</v>
      </c>
      <c r="H170" s="17" t="s">
        <v>331</v>
      </c>
      <c r="I170" s="17" t="s">
        <v>91</v>
      </c>
      <c r="J170" s="17" t="s">
        <v>539</v>
      </c>
    </row>
    <row r="171" customFormat="false" ht="15" hidden="false" customHeight="true" outlineLevel="0" collapsed="false">
      <c r="A171" s="17" t="n">
        <v>763</v>
      </c>
      <c r="B171" s="17" t="s">
        <v>540</v>
      </c>
      <c r="C171" s="17" t="s">
        <v>660</v>
      </c>
      <c r="D171" s="17" t="s">
        <v>820</v>
      </c>
      <c r="E171" s="17" t="s">
        <v>135</v>
      </c>
      <c r="F171" s="17" t="s">
        <v>672</v>
      </c>
      <c r="G171" s="17" t="s">
        <v>330</v>
      </c>
      <c r="H171" s="17" t="s">
        <v>331</v>
      </c>
      <c r="I171" s="17" t="s">
        <v>91</v>
      </c>
      <c r="J171" s="17" t="s">
        <v>539</v>
      </c>
    </row>
    <row r="172" customFormat="false" ht="15" hidden="false" customHeight="true" outlineLevel="0" collapsed="false">
      <c r="A172" s="17" t="n">
        <v>799</v>
      </c>
      <c r="B172" s="17" t="s">
        <v>540</v>
      </c>
      <c r="C172" s="17" t="s">
        <v>660</v>
      </c>
      <c r="D172" s="17" t="s">
        <v>821</v>
      </c>
      <c r="E172" s="17" t="s">
        <v>135</v>
      </c>
      <c r="F172" s="17" t="s">
        <v>103</v>
      </c>
      <c r="G172" s="17" t="s">
        <v>330</v>
      </c>
      <c r="H172" s="17" t="s">
        <v>331</v>
      </c>
      <c r="I172" s="17" t="s">
        <v>592</v>
      </c>
      <c r="J172" s="17" t="s">
        <v>539</v>
      </c>
    </row>
    <row r="173" customFormat="false" ht="15" hidden="false" customHeight="true" outlineLevel="0" collapsed="false">
      <c r="A173" s="17" t="n">
        <v>756</v>
      </c>
      <c r="B173" s="17" t="s">
        <v>540</v>
      </c>
      <c r="C173" s="17" t="s">
        <v>551</v>
      </c>
      <c r="D173" s="17" t="s">
        <v>822</v>
      </c>
      <c r="E173" s="17" t="s">
        <v>135</v>
      </c>
      <c r="F173" s="17" t="s">
        <v>674</v>
      </c>
      <c r="G173" s="17" t="s">
        <v>330</v>
      </c>
      <c r="H173" s="17" t="s">
        <v>331</v>
      </c>
      <c r="I173" s="17" t="s">
        <v>91</v>
      </c>
      <c r="J173" s="17" t="s">
        <v>539</v>
      </c>
    </row>
    <row r="174" customFormat="false" ht="15" hidden="false" customHeight="true" outlineLevel="0" collapsed="false">
      <c r="A174" s="17" t="n">
        <v>1235</v>
      </c>
      <c r="B174" s="17" t="s">
        <v>540</v>
      </c>
      <c r="C174" s="17" t="s">
        <v>559</v>
      </c>
      <c r="D174" s="17" t="s">
        <v>823</v>
      </c>
      <c r="E174" s="17" t="s">
        <v>135</v>
      </c>
      <c r="F174" s="17" t="s">
        <v>681</v>
      </c>
      <c r="G174" s="17" t="s">
        <v>330</v>
      </c>
      <c r="H174" s="17" t="s">
        <v>331</v>
      </c>
      <c r="I174" s="17" t="s">
        <v>91</v>
      </c>
      <c r="J174" s="17" t="s">
        <v>539</v>
      </c>
    </row>
    <row r="175" customFormat="false" ht="15" hidden="false" customHeight="true" outlineLevel="0" collapsed="false">
      <c r="A175" s="17" t="n">
        <v>982</v>
      </c>
      <c r="B175" s="17" t="s">
        <v>540</v>
      </c>
      <c r="C175" s="17" t="s">
        <v>561</v>
      </c>
      <c r="D175" s="17" t="s">
        <v>824</v>
      </c>
      <c r="E175" s="17" t="s">
        <v>135</v>
      </c>
      <c r="F175" s="17" t="s">
        <v>342</v>
      </c>
      <c r="G175" s="17" t="s">
        <v>330</v>
      </c>
      <c r="H175" s="17" t="s">
        <v>331</v>
      </c>
      <c r="I175" s="17" t="s">
        <v>91</v>
      </c>
      <c r="J175" s="17" t="s">
        <v>539</v>
      </c>
    </row>
    <row r="176" customFormat="false" ht="15" hidden="false" customHeight="true" outlineLevel="0" collapsed="false">
      <c r="A176" s="17" t="n">
        <v>1250</v>
      </c>
      <c r="B176" s="17" t="s">
        <v>540</v>
      </c>
      <c r="C176" s="17" t="s">
        <v>559</v>
      </c>
      <c r="D176" s="17" t="s">
        <v>825</v>
      </c>
      <c r="E176" s="17" t="s">
        <v>135</v>
      </c>
      <c r="F176" s="17" t="s">
        <v>683</v>
      </c>
      <c r="G176" s="17" t="s">
        <v>330</v>
      </c>
      <c r="H176" s="17" t="s">
        <v>331</v>
      </c>
      <c r="I176" s="17" t="s">
        <v>91</v>
      </c>
      <c r="J176" s="17" t="s">
        <v>539</v>
      </c>
    </row>
    <row r="177" customFormat="false" ht="15" hidden="false" customHeight="true" outlineLevel="0" collapsed="false">
      <c r="A177" s="17" t="n">
        <v>980</v>
      </c>
      <c r="B177" s="17" t="s">
        <v>540</v>
      </c>
      <c r="C177" s="17" t="s">
        <v>561</v>
      </c>
      <c r="D177" s="17" t="s">
        <v>826</v>
      </c>
      <c r="E177" s="17" t="s">
        <v>135</v>
      </c>
      <c r="F177" s="17" t="s">
        <v>686</v>
      </c>
      <c r="G177" s="17" t="s">
        <v>330</v>
      </c>
      <c r="H177" s="17" t="s">
        <v>331</v>
      </c>
      <c r="I177" s="17" t="s">
        <v>91</v>
      </c>
      <c r="J177" s="17" t="s">
        <v>539</v>
      </c>
    </row>
    <row r="178" customFormat="false" ht="15" hidden="false" customHeight="true" outlineLevel="0" collapsed="false">
      <c r="A178" s="17" t="n">
        <v>1217</v>
      </c>
      <c r="B178" s="17" t="s">
        <v>540</v>
      </c>
      <c r="C178" s="17" t="s">
        <v>559</v>
      </c>
      <c r="D178" s="17" t="s">
        <v>827</v>
      </c>
      <c r="E178" s="17" t="s">
        <v>135</v>
      </c>
      <c r="F178" s="17" t="s">
        <v>688</v>
      </c>
      <c r="G178" s="17" t="s">
        <v>330</v>
      </c>
      <c r="H178" s="17" t="s">
        <v>331</v>
      </c>
      <c r="I178" s="17" t="s">
        <v>91</v>
      </c>
      <c r="J178" s="17" t="s">
        <v>539</v>
      </c>
    </row>
    <row r="179" customFormat="false" ht="15" hidden="false" customHeight="true" outlineLevel="0" collapsed="false">
      <c r="A179" s="17" t="n">
        <v>965</v>
      </c>
      <c r="B179" s="17" t="s">
        <v>540</v>
      </c>
      <c r="C179" s="17" t="s">
        <v>561</v>
      </c>
      <c r="D179" s="17" t="s">
        <v>828</v>
      </c>
      <c r="E179" s="17" t="s">
        <v>135</v>
      </c>
      <c r="F179" s="17" t="s">
        <v>690</v>
      </c>
      <c r="G179" s="17" t="s">
        <v>330</v>
      </c>
      <c r="H179" s="17" t="s">
        <v>331</v>
      </c>
      <c r="I179" s="17" t="s">
        <v>592</v>
      </c>
      <c r="J179" s="17" t="s">
        <v>539</v>
      </c>
    </row>
    <row r="180" customFormat="false" ht="15" hidden="false" customHeight="true" outlineLevel="0" collapsed="false">
      <c r="A180" s="17" t="n">
        <v>1247</v>
      </c>
      <c r="B180" s="17" t="s">
        <v>540</v>
      </c>
      <c r="C180" s="17" t="s">
        <v>559</v>
      </c>
      <c r="D180" s="17" t="s">
        <v>829</v>
      </c>
      <c r="E180" s="17" t="s">
        <v>135</v>
      </c>
      <c r="F180" s="17" t="s">
        <v>692</v>
      </c>
      <c r="G180" s="17" t="s">
        <v>330</v>
      </c>
      <c r="H180" s="17" t="s">
        <v>331</v>
      </c>
      <c r="I180" s="17" t="s">
        <v>592</v>
      </c>
      <c r="J180" s="17" t="s">
        <v>539</v>
      </c>
    </row>
    <row r="181" customFormat="false" ht="15" hidden="false" customHeight="true" outlineLevel="0" collapsed="false">
      <c r="A181" s="17" t="n">
        <v>979</v>
      </c>
      <c r="B181" s="17" t="s">
        <v>540</v>
      </c>
      <c r="C181" s="17" t="s">
        <v>561</v>
      </c>
      <c r="D181" s="17" t="s">
        <v>830</v>
      </c>
      <c r="E181" s="17" t="s">
        <v>135</v>
      </c>
      <c r="F181" s="17" t="s">
        <v>695</v>
      </c>
      <c r="G181" s="17" t="s">
        <v>330</v>
      </c>
      <c r="H181" s="17" t="s">
        <v>331</v>
      </c>
      <c r="I181" s="17" t="s">
        <v>91</v>
      </c>
      <c r="J181" s="17" t="s">
        <v>539</v>
      </c>
    </row>
    <row r="182" customFormat="false" ht="15" hidden="false" customHeight="true" outlineLevel="0" collapsed="false">
      <c r="A182" s="17" t="n">
        <v>1249</v>
      </c>
      <c r="B182" s="17" t="s">
        <v>540</v>
      </c>
      <c r="C182" s="17" t="s">
        <v>559</v>
      </c>
      <c r="D182" s="17" t="s">
        <v>831</v>
      </c>
      <c r="E182" s="17" t="s">
        <v>135</v>
      </c>
      <c r="F182" s="17" t="s">
        <v>832</v>
      </c>
      <c r="G182" s="17" t="s">
        <v>330</v>
      </c>
      <c r="H182" s="17" t="s">
        <v>331</v>
      </c>
      <c r="I182" s="17" t="s">
        <v>91</v>
      </c>
      <c r="J182" s="17" t="s">
        <v>539</v>
      </c>
    </row>
    <row r="183" customFormat="false" ht="15" hidden="false" customHeight="true" outlineLevel="0" collapsed="false">
      <c r="A183" s="17" t="n">
        <v>1248</v>
      </c>
      <c r="B183" s="17" t="s">
        <v>540</v>
      </c>
      <c r="C183" s="17" t="s">
        <v>559</v>
      </c>
      <c r="D183" s="17" t="s">
        <v>833</v>
      </c>
      <c r="E183" s="17" t="s">
        <v>135</v>
      </c>
      <c r="F183" s="17" t="s">
        <v>834</v>
      </c>
      <c r="G183" s="17" t="s">
        <v>330</v>
      </c>
      <c r="H183" s="17" t="s">
        <v>331</v>
      </c>
      <c r="I183" s="17" t="s">
        <v>91</v>
      </c>
      <c r="J183" s="17" t="s">
        <v>539</v>
      </c>
    </row>
    <row r="184" customFormat="false" ht="15" hidden="false" customHeight="true" outlineLevel="0" collapsed="false">
      <c r="A184" s="17" t="n">
        <v>1246</v>
      </c>
      <c r="B184" s="17" t="s">
        <v>540</v>
      </c>
      <c r="C184" s="17" t="s">
        <v>559</v>
      </c>
      <c r="D184" s="17" t="s">
        <v>835</v>
      </c>
      <c r="E184" s="17" t="s">
        <v>135</v>
      </c>
      <c r="F184" s="17" t="s">
        <v>836</v>
      </c>
      <c r="G184" s="17" t="s">
        <v>330</v>
      </c>
      <c r="H184" s="17" t="s">
        <v>331</v>
      </c>
      <c r="I184" s="17" t="s">
        <v>91</v>
      </c>
      <c r="J184" s="17" t="s">
        <v>539</v>
      </c>
    </row>
    <row r="185" customFormat="false" ht="15" hidden="false" customHeight="true" outlineLevel="0" collapsed="false">
      <c r="A185" s="17" t="n">
        <v>981</v>
      </c>
      <c r="B185" s="17" t="s">
        <v>540</v>
      </c>
      <c r="C185" s="17" t="s">
        <v>561</v>
      </c>
      <c r="D185" s="17" t="s">
        <v>837</v>
      </c>
      <c r="E185" s="17" t="s">
        <v>135</v>
      </c>
      <c r="F185" s="17" t="s">
        <v>838</v>
      </c>
      <c r="G185" s="17" t="s">
        <v>330</v>
      </c>
      <c r="H185" s="17" t="s">
        <v>331</v>
      </c>
      <c r="I185" s="17" t="s">
        <v>91</v>
      </c>
      <c r="J185" s="17" t="s">
        <v>539</v>
      </c>
    </row>
    <row r="186" customFormat="false" ht="15" hidden="false" customHeight="true" outlineLevel="0" collapsed="false">
      <c r="A186" s="17" t="n">
        <v>1240</v>
      </c>
      <c r="B186" s="17" t="s">
        <v>540</v>
      </c>
      <c r="C186" s="17" t="s">
        <v>559</v>
      </c>
      <c r="D186" s="17" t="s">
        <v>839</v>
      </c>
      <c r="E186" s="17" t="s">
        <v>135</v>
      </c>
      <c r="F186" s="17" t="s">
        <v>840</v>
      </c>
      <c r="G186" s="17" t="s">
        <v>330</v>
      </c>
      <c r="H186" s="17" t="s">
        <v>331</v>
      </c>
      <c r="I186" s="17" t="s">
        <v>91</v>
      </c>
      <c r="J186" s="17" t="s">
        <v>539</v>
      </c>
    </row>
    <row r="187" customFormat="false" ht="15" hidden="false" customHeight="true" outlineLevel="0" collapsed="false">
      <c r="A187" s="17" t="n">
        <v>1331</v>
      </c>
      <c r="B187" s="17" t="s">
        <v>540</v>
      </c>
      <c r="C187" s="17" t="s">
        <v>571</v>
      </c>
      <c r="D187" s="17" t="s">
        <v>841</v>
      </c>
      <c r="E187" s="17" t="s">
        <v>135</v>
      </c>
      <c r="F187" s="17" t="s">
        <v>210</v>
      </c>
      <c r="G187" s="17" t="s">
        <v>330</v>
      </c>
      <c r="H187" s="17" t="s">
        <v>331</v>
      </c>
      <c r="I187" s="17" t="s">
        <v>91</v>
      </c>
      <c r="J187" s="17" t="s">
        <v>539</v>
      </c>
    </row>
    <row r="188" customFormat="false" ht="15" hidden="false" customHeight="true" outlineLevel="0" collapsed="false">
      <c r="A188" s="17" t="n">
        <v>804</v>
      </c>
      <c r="B188" s="17" t="s">
        <v>540</v>
      </c>
      <c r="C188" s="17" t="s">
        <v>660</v>
      </c>
      <c r="D188" s="17" t="s">
        <v>842</v>
      </c>
      <c r="E188" s="17" t="s">
        <v>135</v>
      </c>
      <c r="F188" s="17" t="s">
        <v>185</v>
      </c>
      <c r="G188" s="17" t="s">
        <v>330</v>
      </c>
      <c r="H188" s="17" t="s">
        <v>331</v>
      </c>
      <c r="I188" s="17" t="s">
        <v>91</v>
      </c>
      <c r="J188" s="17" t="s">
        <v>539</v>
      </c>
    </row>
    <row r="189" customFormat="false" ht="15" hidden="false" customHeight="true" outlineLevel="0" collapsed="false">
      <c r="A189" s="17" t="n">
        <v>985</v>
      </c>
      <c r="B189" s="17" t="s">
        <v>540</v>
      </c>
      <c r="C189" s="17" t="s">
        <v>561</v>
      </c>
      <c r="D189" s="17" t="s">
        <v>843</v>
      </c>
      <c r="E189" s="17" t="s">
        <v>135</v>
      </c>
      <c r="F189" s="17" t="s">
        <v>443</v>
      </c>
      <c r="G189" s="17" t="s">
        <v>330</v>
      </c>
      <c r="H189" s="17" t="s">
        <v>331</v>
      </c>
      <c r="I189" s="17" t="s">
        <v>91</v>
      </c>
      <c r="J189" s="17" t="s">
        <v>539</v>
      </c>
    </row>
    <row r="190" customFormat="false" ht="15" hidden="false" customHeight="true" outlineLevel="0" collapsed="false">
      <c r="A190" s="17" t="n">
        <v>924</v>
      </c>
      <c r="B190" s="17" t="s">
        <v>540</v>
      </c>
      <c r="C190" s="17" t="s">
        <v>684</v>
      </c>
      <c r="D190" s="17" t="s">
        <v>844</v>
      </c>
      <c r="E190" s="17" t="s">
        <v>135</v>
      </c>
      <c r="F190" s="17" t="s">
        <v>448</v>
      </c>
      <c r="G190" s="17" t="s">
        <v>330</v>
      </c>
      <c r="H190" s="17" t="s">
        <v>331</v>
      </c>
      <c r="I190" s="17" t="s">
        <v>91</v>
      </c>
      <c r="J190" s="17" t="s">
        <v>539</v>
      </c>
    </row>
    <row r="191" customFormat="false" ht="15" hidden="false" customHeight="true" outlineLevel="0" collapsed="false">
      <c r="A191" s="17" t="n">
        <v>1074</v>
      </c>
      <c r="B191" s="17" t="s">
        <v>540</v>
      </c>
      <c r="C191" s="17" t="s">
        <v>845</v>
      </c>
      <c r="D191" s="17" t="s">
        <v>846</v>
      </c>
      <c r="E191" s="17" t="s">
        <v>135</v>
      </c>
      <c r="F191" s="17" t="s">
        <v>847</v>
      </c>
      <c r="G191" s="17" t="s">
        <v>330</v>
      </c>
      <c r="H191" s="17" t="s">
        <v>331</v>
      </c>
      <c r="I191" s="17" t="s">
        <v>91</v>
      </c>
      <c r="J191" s="17" t="s">
        <v>539</v>
      </c>
    </row>
    <row r="192" customFormat="false" ht="15" hidden="false" customHeight="true" outlineLevel="0" collapsed="false">
      <c r="A192" s="17" t="n">
        <v>913</v>
      </c>
      <c r="B192" s="17" t="s">
        <v>540</v>
      </c>
      <c r="C192" s="17" t="s">
        <v>848</v>
      </c>
      <c r="D192" s="17" t="s">
        <v>849</v>
      </c>
      <c r="E192" s="17" t="s">
        <v>135</v>
      </c>
      <c r="F192" s="17" t="s">
        <v>850</v>
      </c>
      <c r="G192" s="17" t="s">
        <v>330</v>
      </c>
      <c r="H192" s="17" t="s">
        <v>331</v>
      </c>
      <c r="I192" s="17" t="s">
        <v>91</v>
      </c>
      <c r="J192" s="17" t="s">
        <v>539</v>
      </c>
    </row>
    <row r="193" customFormat="false" ht="15" hidden="false" customHeight="true" outlineLevel="0" collapsed="false">
      <c r="A193" s="17" t="n">
        <v>1199</v>
      </c>
      <c r="B193" s="17" t="s">
        <v>540</v>
      </c>
      <c r="C193" s="17" t="s">
        <v>557</v>
      </c>
      <c r="D193" s="17" t="s">
        <v>851</v>
      </c>
      <c r="E193" s="17" t="s">
        <v>135</v>
      </c>
      <c r="F193" s="17" t="s">
        <v>449</v>
      </c>
      <c r="G193" s="17" t="s">
        <v>330</v>
      </c>
      <c r="H193" s="17" t="s">
        <v>331</v>
      </c>
      <c r="I193" s="17" t="s">
        <v>91</v>
      </c>
      <c r="J193" s="17" t="s">
        <v>539</v>
      </c>
    </row>
    <row r="194" customFormat="false" ht="15" hidden="false" customHeight="true" outlineLevel="0" collapsed="false">
      <c r="A194" s="17" t="n">
        <v>1023</v>
      </c>
      <c r="B194" s="17" t="s">
        <v>540</v>
      </c>
      <c r="C194" s="17" t="s">
        <v>546</v>
      </c>
      <c r="D194" s="17" t="s">
        <v>852</v>
      </c>
      <c r="E194" s="17" t="s">
        <v>135</v>
      </c>
      <c r="F194" s="17" t="s">
        <v>853</v>
      </c>
      <c r="G194" s="17" t="s">
        <v>330</v>
      </c>
      <c r="H194" s="17" t="s">
        <v>331</v>
      </c>
      <c r="I194" s="17" t="s">
        <v>592</v>
      </c>
      <c r="J194" s="17" t="s">
        <v>539</v>
      </c>
    </row>
    <row r="195" customFormat="false" ht="15" hidden="false" customHeight="true" outlineLevel="0" collapsed="false">
      <c r="A195" s="17" t="n">
        <v>897</v>
      </c>
      <c r="B195" s="17" t="s">
        <v>540</v>
      </c>
      <c r="C195" s="17" t="s">
        <v>675</v>
      </c>
      <c r="D195" s="17" t="s">
        <v>854</v>
      </c>
      <c r="E195" s="17" t="s">
        <v>135</v>
      </c>
      <c r="F195" s="17" t="s">
        <v>855</v>
      </c>
      <c r="G195" s="17" t="s">
        <v>330</v>
      </c>
      <c r="H195" s="17" t="s">
        <v>331</v>
      </c>
      <c r="I195" s="17" t="s">
        <v>592</v>
      </c>
      <c r="J195" s="17" t="s">
        <v>539</v>
      </c>
    </row>
    <row r="196" customFormat="false" ht="15" hidden="false" customHeight="true" outlineLevel="0" collapsed="false">
      <c r="A196" s="17" t="n">
        <v>1186</v>
      </c>
      <c r="B196" s="17" t="s">
        <v>540</v>
      </c>
      <c r="C196" s="17" t="s">
        <v>856</v>
      </c>
      <c r="D196" s="17" t="s">
        <v>857</v>
      </c>
      <c r="E196" s="17" t="s">
        <v>135</v>
      </c>
      <c r="F196" s="17" t="s">
        <v>858</v>
      </c>
      <c r="G196" s="17" t="s">
        <v>330</v>
      </c>
      <c r="H196" s="17" t="s">
        <v>331</v>
      </c>
      <c r="I196" s="17" t="s">
        <v>592</v>
      </c>
      <c r="J196" s="17" t="s">
        <v>539</v>
      </c>
    </row>
    <row r="197" customFormat="false" ht="15" hidden="false" customHeight="true" outlineLevel="0" collapsed="false">
      <c r="A197" s="17" t="n">
        <v>1172</v>
      </c>
      <c r="B197" s="17" t="s">
        <v>540</v>
      </c>
      <c r="C197" s="17" t="s">
        <v>653</v>
      </c>
      <c r="D197" s="17" t="s">
        <v>859</v>
      </c>
      <c r="E197" s="17" t="s">
        <v>135</v>
      </c>
      <c r="F197" s="17" t="s">
        <v>860</v>
      </c>
      <c r="G197" s="17" t="s">
        <v>330</v>
      </c>
      <c r="H197" s="17" t="s">
        <v>331</v>
      </c>
      <c r="I197" s="17" t="s">
        <v>91</v>
      </c>
      <c r="J197" s="17" t="s">
        <v>539</v>
      </c>
    </row>
    <row r="198" customFormat="false" ht="15" hidden="false" customHeight="true" outlineLevel="0" collapsed="false">
      <c r="A198" s="17" t="n">
        <v>1155</v>
      </c>
      <c r="B198" s="17" t="s">
        <v>540</v>
      </c>
      <c r="C198" s="17" t="s">
        <v>653</v>
      </c>
      <c r="D198" s="17" t="s">
        <v>861</v>
      </c>
      <c r="E198" s="17" t="s">
        <v>135</v>
      </c>
      <c r="F198" s="17" t="s">
        <v>862</v>
      </c>
      <c r="G198" s="17" t="s">
        <v>330</v>
      </c>
      <c r="H198" s="17" t="s">
        <v>331</v>
      </c>
      <c r="I198" s="17" t="s">
        <v>91</v>
      </c>
      <c r="J198" s="17" t="s">
        <v>539</v>
      </c>
    </row>
    <row r="199" customFormat="false" ht="15" hidden="false" customHeight="true" outlineLevel="0" collapsed="false">
      <c r="A199" s="17" t="n">
        <v>1025</v>
      </c>
      <c r="B199" s="17" t="s">
        <v>540</v>
      </c>
      <c r="C199" s="17" t="s">
        <v>546</v>
      </c>
      <c r="D199" s="17" t="s">
        <v>863</v>
      </c>
      <c r="E199" s="17" t="s">
        <v>135</v>
      </c>
      <c r="F199" s="17" t="s">
        <v>60</v>
      </c>
      <c r="G199" s="17" t="s">
        <v>330</v>
      </c>
      <c r="H199" s="17" t="s">
        <v>331</v>
      </c>
      <c r="I199" s="17" t="s">
        <v>91</v>
      </c>
      <c r="J199" s="17" t="s">
        <v>539</v>
      </c>
    </row>
    <row r="200" customFormat="false" ht="15" hidden="false" customHeight="true" outlineLevel="0" collapsed="false">
      <c r="A200" s="17" t="n">
        <v>795</v>
      </c>
      <c r="B200" s="17" t="s">
        <v>540</v>
      </c>
      <c r="C200" s="17" t="s">
        <v>660</v>
      </c>
      <c r="D200" s="17" t="s">
        <v>864</v>
      </c>
      <c r="E200" s="17" t="s">
        <v>135</v>
      </c>
      <c r="F200" s="17" t="s">
        <v>362</v>
      </c>
      <c r="G200" s="17" t="s">
        <v>330</v>
      </c>
      <c r="H200" s="17" t="s">
        <v>331</v>
      </c>
      <c r="I200" s="17" t="s">
        <v>91</v>
      </c>
      <c r="J200" s="17" t="s">
        <v>539</v>
      </c>
    </row>
    <row r="201" customFormat="false" ht="15" hidden="false" customHeight="true" outlineLevel="0" collapsed="false">
      <c r="A201" s="17" t="n">
        <v>914</v>
      </c>
      <c r="B201" s="17" t="s">
        <v>540</v>
      </c>
      <c r="C201" s="17" t="s">
        <v>865</v>
      </c>
      <c r="D201" s="17" t="s">
        <v>866</v>
      </c>
      <c r="E201" s="17" t="s">
        <v>135</v>
      </c>
      <c r="F201" s="17" t="s">
        <v>867</v>
      </c>
      <c r="G201" s="17" t="s">
        <v>330</v>
      </c>
      <c r="H201" s="17" t="s">
        <v>331</v>
      </c>
      <c r="I201" s="17" t="s">
        <v>91</v>
      </c>
      <c r="J201" s="17" t="s">
        <v>539</v>
      </c>
    </row>
    <row r="202" customFormat="false" ht="15" hidden="false" customHeight="true" outlineLevel="0" collapsed="false">
      <c r="A202" s="17" t="n">
        <v>1196</v>
      </c>
      <c r="B202" s="17" t="s">
        <v>540</v>
      </c>
      <c r="C202" s="17" t="s">
        <v>868</v>
      </c>
      <c r="D202" s="17" t="s">
        <v>869</v>
      </c>
      <c r="E202" s="17" t="s">
        <v>135</v>
      </c>
      <c r="F202" s="17" t="s">
        <v>123</v>
      </c>
      <c r="G202" s="17" t="s">
        <v>330</v>
      </c>
      <c r="H202" s="17" t="s">
        <v>331</v>
      </c>
      <c r="I202" s="17" t="s">
        <v>91</v>
      </c>
      <c r="J202" s="17" t="s">
        <v>539</v>
      </c>
    </row>
    <row r="203" customFormat="false" ht="15" hidden="false" customHeight="true" outlineLevel="0" collapsed="false">
      <c r="A203" s="17" t="n">
        <v>1212</v>
      </c>
      <c r="B203" s="17" t="s">
        <v>540</v>
      </c>
      <c r="C203" s="17" t="s">
        <v>549</v>
      </c>
      <c r="D203" s="17" t="s">
        <v>870</v>
      </c>
      <c r="E203" s="17" t="s">
        <v>135</v>
      </c>
      <c r="F203" s="17" t="s">
        <v>706</v>
      </c>
      <c r="G203" s="17" t="s">
        <v>330</v>
      </c>
      <c r="H203" s="17" t="s">
        <v>331</v>
      </c>
      <c r="I203" s="17" t="s">
        <v>91</v>
      </c>
      <c r="J203" s="17" t="s">
        <v>539</v>
      </c>
    </row>
    <row r="204" customFormat="false" ht="15" hidden="false" customHeight="true" outlineLevel="0" collapsed="false">
      <c r="A204" s="17" t="n">
        <v>1075</v>
      </c>
      <c r="B204" s="17" t="s">
        <v>540</v>
      </c>
      <c r="C204" s="17" t="s">
        <v>871</v>
      </c>
      <c r="D204" s="17" t="s">
        <v>872</v>
      </c>
      <c r="E204" s="17" t="s">
        <v>135</v>
      </c>
      <c r="F204" s="17" t="s">
        <v>873</v>
      </c>
      <c r="G204" s="17" t="s">
        <v>330</v>
      </c>
      <c r="H204" s="17" t="s">
        <v>331</v>
      </c>
      <c r="I204" s="17" t="s">
        <v>91</v>
      </c>
      <c r="J204" s="17" t="s">
        <v>539</v>
      </c>
    </row>
    <row r="205" customFormat="false" ht="15" hidden="false" customHeight="true" outlineLevel="0" collapsed="false">
      <c r="A205" s="17" t="n">
        <v>1152</v>
      </c>
      <c r="B205" s="17" t="s">
        <v>540</v>
      </c>
      <c r="C205" s="17" t="s">
        <v>653</v>
      </c>
      <c r="D205" s="17" t="s">
        <v>874</v>
      </c>
      <c r="E205" s="17" t="s">
        <v>135</v>
      </c>
      <c r="F205" s="17" t="s">
        <v>366</v>
      </c>
      <c r="G205" s="17" t="s">
        <v>330</v>
      </c>
      <c r="H205" s="17" t="s">
        <v>331</v>
      </c>
      <c r="I205" s="17" t="s">
        <v>91</v>
      </c>
      <c r="J205" s="17" t="s">
        <v>539</v>
      </c>
    </row>
    <row r="206" customFormat="false" ht="15" hidden="false" customHeight="true" outlineLevel="0" collapsed="false">
      <c r="A206" s="17" t="n">
        <v>1018</v>
      </c>
      <c r="B206" s="17" t="s">
        <v>540</v>
      </c>
      <c r="C206" s="17" t="s">
        <v>546</v>
      </c>
      <c r="D206" s="17" t="s">
        <v>875</v>
      </c>
      <c r="E206" s="17" t="s">
        <v>135</v>
      </c>
      <c r="F206" s="17" t="s">
        <v>451</v>
      </c>
      <c r="G206" s="17" t="s">
        <v>330</v>
      </c>
      <c r="H206" s="17" t="s">
        <v>331</v>
      </c>
      <c r="I206" s="17" t="s">
        <v>91</v>
      </c>
      <c r="J206" s="17" t="s">
        <v>539</v>
      </c>
    </row>
    <row r="207" customFormat="false" ht="15" hidden="false" customHeight="true" outlineLevel="0" collapsed="false">
      <c r="A207" s="17" t="n">
        <v>725</v>
      </c>
      <c r="B207" s="17" t="s">
        <v>540</v>
      </c>
      <c r="C207" s="17" t="s">
        <v>543</v>
      </c>
      <c r="D207" s="17" t="s">
        <v>876</v>
      </c>
      <c r="E207" s="17" t="s">
        <v>135</v>
      </c>
      <c r="F207" s="17" t="s">
        <v>452</v>
      </c>
      <c r="G207" s="17" t="s">
        <v>545</v>
      </c>
      <c r="H207" s="17" t="s">
        <v>331</v>
      </c>
      <c r="I207" s="17" t="s">
        <v>91</v>
      </c>
      <c r="J207" s="17" t="s">
        <v>539</v>
      </c>
    </row>
    <row r="208" customFormat="false" ht="15" hidden="false" customHeight="true" outlineLevel="0" collapsed="false">
      <c r="A208" s="17" t="n">
        <v>800</v>
      </c>
      <c r="B208" s="17" t="s">
        <v>540</v>
      </c>
      <c r="C208" s="17" t="s">
        <v>660</v>
      </c>
      <c r="D208" s="17" t="s">
        <v>877</v>
      </c>
      <c r="E208" s="17" t="s">
        <v>135</v>
      </c>
      <c r="F208" s="17" t="s">
        <v>453</v>
      </c>
      <c r="G208" s="17" t="s">
        <v>330</v>
      </c>
      <c r="H208" s="17" t="s">
        <v>331</v>
      </c>
      <c r="I208" s="17" t="s">
        <v>91</v>
      </c>
      <c r="J208" s="17" t="s">
        <v>539</v>
      </c>
    </row>
    <row r="209" customFormat="false" ht="15" hidden="false" customHeight="true" outlineLevel="0" collapsed="false">
      <c r="A209" s="17" t="n">
        <v>1026</v>
      </c>
      <c r="B209" s="17" t="s">
        <v>540</v>
      </c>
      <c r="C209" s="17" t="s">
        <v>546</v>
      </c>
      <c r="D209" s="17" t="s">
        <v>878</v>
      </c>
      <c r="E209" s="17" t="s">
        <v>135</v>
      </c>
      <c r="F209" s="17" t="s">
        <v>369</v>
      </c>
      <c r="G209" s="17" t="s">
        <v>330</v>
      </c>
      <c r="H209" s="17" t="s">
        <v>331</v>
      </c>
      <c r="I209" s="17" t="s">
        <v>91</v>
      </c>
      <c r="J209" s="17" t="s">
        <v>539</v>
      </c>
    </row>
    <row r="210" customFormat="false" ht="15" hidden="false" customHeight="true" outlineLevel="0" collapsed="false">
      <c r="A210" s="17" t="n">
        <v>802</v>
      </c>
      <c r="B210" s="17" t="s">
        <v>540</v>
      </c>
      <c r="C210" s="17" t="s">
        <v>660</v>
      </c>
      <c r="D210" s="17" t="s">
        <v>879</v>
      </c>
      <c r="E210" s="17" t="s">
        <v>135</v>
      </c>
      <c r="F210" s="17" t="s">
        <v>370</v>
      </c>
      <c r="G210" s="17" t="s">
        <v>330</v>
      </c>
      <c r="H210" s="17" t="s">
        <v>331</v>
      </c>
      <c r="I210" s="17" t="s">
        <v>91</v>
      </c>
      <c r="J210" s="17" t="s">
        <v>539</v>
      </c>
    </row>
    <row r="211" customFormat="false" ht="15" hidden="false" customHeight="true" outlineLevel="0" collapsed="false">
      <c r="A211" s="17" t="n">
        <v>797</v>
      </c>
      <c r="B211" s="17" t="s">
        <v>540</v>
      </c>
      <c r="C211" s="17" t="s">
        <v>660</v>
      </c>
      <c r="D211" s="17" t="s">
        <v>880</v>
      </c>
      <c r="E211" s="17" t="s">
        <v>135</v>
      </c>
      <c r="F211" s="17" t="s">
        <v>371</v>
      </c>
      <c r="G211" s="17" t="s">
        <v>330</v>
      </c>
      <c r="H211" s="17" t="s">
        <v>331</v>
      </c>
      <c r="I211" s="17" t="s">
        <v>91</v>
      </c>
      <c r="J211" s="17" t="s">
        <v>539</v>
      </c>
    </row>
    <row r="212" customFormat="false" ht="15" hidden="false" customHeight="true" outlineLevel="0" collapsed="false">
      <c r="A212" s="17" t="n">
        <v>1017</v>
      </c>
      <c r="B212" s="17" t="s">
        <v>540</v>
      </c>
      <c r="C212" s="17" t="s">
        <v>546</v>
      </c>
      <c r="D212" s="17" t="s">
        <v>881</v>
      </c>
      <c r="E212" s="17" t="s">
        <v>135</v>
      </c>
      <c r="F212" s="17" t="s">
        <v>457</v>
      </c>
      <c r="G212" s="17" t="s">
        <v>330</v>
      </c>
      <c r="H212" s="17" t="s">
        <v>331</v>
      </c>
      <c r="I212" s="17" t="s">
        <v>91</v>
      </c>
      <c r="J212" s="17" t="s">
        <v>539</v>
      </c>
    </row>
    <row r="213" customFormat="false" ht="15" hidden="false" customHeight="true" outlineLevel="0" collapsed="false">
      <c r="A213" s="17" t="n">
        <v>1167</v>
      </c>
      <c r="B213" s="17" t="s">
        <v>540</v>
      </c>
      <c r="C213" s="17" t="s">
        <v>653</v>
      </c>
      <c r="D213" s="17" t="s">
        <v>882</v>
      </c>
      <c r="E213" s="17" t="s">
        <v>135</v>
      </c>
      <c r="F213" s="17" t="s">
        <v>458</v>
      </c>
      <c r="G213" s="17" t="s">
        <v>330</v>
      </c>
      <c r="H213" s="17" t="s">
        <v>331</v>
      </c>
      <c r="I213" s="17" t="s">
        <v>91</v>
      </c>
      <c r="J213" s="17" t="s">
        <v>539</v>
      </c>
    </row>
    <row r="214" customFormat="false" ht="15" hidden="false" customHeight="true" outlineLevel="0" collapsed="false">
      <c r="A214" s="17" t="n">
        <v>901</v>
      </c>
      <c r="B214" s="17" t="s">
        <v>540</v>
      </c>
      <c r="C214" s="17" t="s">
        <v>675</v>
      </c>
      <c r="D214" s="17" t="s">
        <v>883</v>
      </c>
      <c r="E214" s="17" t="s">
        <v>135</v>
      </c>
      <c r="F214" s="17" t="s">
        <v>170</v>
      </c>
      <c r="G214" s="17" t="s">
        <v>330</v>
      </c>
      <c r="H214" s="17" t="s">
        <v>331</v>
      </c>
      <c r="I214" s="17" t="s">
        <v>592</v>
      </c>
      <c r="J214" s="17" t="s">
        <v>539</v>
      </c>
    </row>
    <row r="215" customFormat="false" ht="15" hidden="false" customHeight="true" outlineLevel="0" collapsed="false">
      <c r="A215" s="17" t="n">
        <v>1020</v>
      </c>
      <c r="B215" s="17" t="s">
        <v>540</v>
      </c>
      <c r="C215" s="17" t="s">
        <v>546</v>
      </c>
      <c r="D215" s="17" t="s">
        <v>884</v>
      </c>
      <c r="E215" s="17" t="s">
        <v>135</v>
      </c>
      <c r="F215" s="17" t="s">
        <v>461</v>
      </c>
      <c r="G215" s="17" t="s">
        <v>330</v>
      </c>
      <c r="H215" s="17" t="s">
        <v>331</v>
      </c>
      <c r="I215" s="17" t="s">
        <v>91</v>
      </c>
      <c r="J215" s="17" t="s">
        <v>539</v>
      </c>
    </row>
    <row r="216" customFormat="false" ht="15" hidden="false" customHeight="true" outlineLevel="0" collapsed="false">
      <c r="A216" s="17" t="n">
        <v>714</v>
      </c>
      <c r="B216" s="17" t="s">
        <v>540</v>
      </c>
      <c r="C216" s="17" t="s">
        <v>543</v>
      </c>
      <c r="D216" s="17" t="s">
        <v>885</v>
      </c>
      <c r="E216" s="17" t="s">
        <v>135</v>
      </c>
      <c r="F216" s="17" t="s">
        <v>372</v>
      </c>
      <c r="G216" s="17" t="s">
        <v>545</v>
      </c>
      <c r="H216" s="17" t="s">
        <v>331</v>
      </c>
      <c r="I216" s="17" t="s">
        <v>91</v>
      </c>
      <c r="J216" s="17" t="s">
        <v>539</v>
      </c>
    </row>
    <row r="217" customFormat="false" ht="15" hidden="false" customHeight="true" outlineLevel="0" collapsed="false">
      <c r="A217" s="17" t="n">
        <v>727</v>
      </c>
      <c r="B217" s="17" t="s">
        <v>540</v>
      </c>
      <c r="C217" s="17" t="s">
        <v>543</v>
      </c>
      <c r="D217" s="17" t="s">
        <v>886</v>
      </c>
      <c r="E217" s="17" t="s">
        <v>135</v>
      </c>
      <c r="F217" s="17" t="s">
        <v>462</v>
      </c>
      <c r="G217" s="17" t="s">
        <v>545</v>
      </c>
      <c r="H217" s="17" t="s">
        <v>331</v>
      </c>
      <c r="I217" s="17" t="s">
        <v>592</v>
      </c>
      <c r="J217" s="17" t="s">
        <v>539</v>
      </c>
    </row>
    <row r="218" customFormat="false" ht="15" hidden="false" customHeight="true" outlineLevel="0" collapsed="false">
      <c r="A218" s="17" t="n">
        <v>807</v>
      </c>
      <c r="B218" s="17" t="s">
        <v>540</v>
      </c>
      <c r="C218" s="17" t="s">
        <v>660</v>
      </c>
      <c r="D218" s="17" t="s">
        <v>887</v>
      </c>
      <c r="E218" s="17" t="s">
        <v>135</v>
      </c>
      <c r="F218" s="17" t="s">
        <v>888</v>
      </c>
      <c r="G218" s="17" t="s">
        <v>330</v>
      </c>
      <c r="H218" s="17" t="s">
        <v>331</v>
      </c>
      <c r="I218" s="17" t="s">
        <v>91</v>
      </c>
      <c r="J218" s="17" t="s">
        <v>539</v>
      </c>
    </row>
    <row r="219" customFormat="false" ht="15" hidden="false" customHeight="true" outlineLevel="0" collapsed="false">
      <c r="A219" s="17" t="n">
        <v>833</v>
      </c>
      <c r="B219" s="17" t="s">
        <v>540</v>
      </c>
      <c r="C219" s="17" t="s">
        <v>716</v>
      </c>
      <c r="D219" s="17" t="s">
        <v>889</v>
      </c>
      <c r="E219" s="17" t="s">
        <v>135</v>
      </c>
      <c r="F219" s="17" t="s">
        <v>464</v>
      </c>
      <c r="G219" s="17" t="s">
        <v>330</v>
      </c>
      <c r="H219" s="17" t="s">
        <v>331</v>
      </c>
      <c r="I219" s="17" t="s">
        <v>91</v>
      </c>
      <c r="J219" s="17" t="s">
        <v>539</v>
      </c>
    </row>
    <row r="220" customFormat="false" ht="15" hidden="false" customHeight="true" outlineLevel="0" collapsed="false">
      <c r="A220" s="17" t="n">
        <v>1188</v>
      </c>
      <c r="B220" s="17" t="s">
        <v>540</v>
      </c>
      <c r="C220" s="17" t="s">
        <v>890</v>
      </c>
      <c r="D220" s="17" t="s">
        <v>891</v>
      </c>
      <c r="E220" s="17" t="s">
        <v>135</v>
      </c>
      <c r="F220" s="17" t="s">
        <v>277</v>
      </c>
      <c r="G220" s="17" t="s">
        <v>330</v>
      </c>
      <c r="H220" s="17" t="s">
        <v>331</v>
      </c>
      <c r="I220" s="17" t="s">
        <v>91</v>
      </c>
      <c r="J220" s="17" t="s">
        <v>539</v>
      </c>
    </row>
    <row r="221" customFormat="false" ht="15" hidden="false" customHeight="true" outlineLevel="0" collapsed="false">
      <c r="A221" s="17" t="n">
        <v>1185</v>
      </c>
      <c r="B221" s="17" t="s">
        <v>540</v>
      </c>
      <c r="C221" s="17" t="s">
        <v>856</v>
      </c>
      <c r="D221" s="17" t="s">
        <v>892</v>
      </c>
      <c r="E221" s="17" t="s">
        <v>135</v>
      </c>
      <c r="F221" s="17" t="s">
        <v>279</v>
      </c>
      <c r="G221" s="17" t="s">
        <v>330</v>
      </c>
      <c r="H221" s="17" t="s">
        <v>331</v>
      </c>
      <c r="I221" s="17" t="s">
        <v>91</v>
      </c>
      <c r="J221" s="17" t="s">
        <v>539</v>
      </c>
    </row>
    <row r="222" customFormat="false" ht="15" hidden="false" customHeight="true" outlineLevel="0" collapsed="false">
      <c r="A222" s="17" t="n">
        <v>1214</v>
      </c>
      <c r="B222" s="17" t="s">
        <v>540</v>
      </c>
      <c r="C222" s="17" t="s">
        <v>549</v>
      </c>
      <c r="D222" s="17" t="s">
        <v>893</v>
      </c>
      <c r="E222" s="17" t="s">
        <v>135</v>
      </c>
      <c r="F222" s="17" t="s">
        <v>465</v>
      </c>
      <c r="G222" s="17" t="s">
        <v>330</v>
      </c>
      <c r="H222" s="17" t="s">
        <v>331</v>
      </c>
      <c r="I222" s="17" t="s">
        <v>91</v>
      </c>
      <c r="J222" s="17" t="s">
        <v>539</v>
      </c>
    </row>
    <row r="223" customFormat="false" ht="15" hidden="false" customHeight="true" outlineLevel="0" collapsed="false">
      <c r="A223" s="17" t="n">
        <v>926</v>
      </c>
      <c r="B223" s="17" t="s">
        <v>540</v>
      </c>
      <c r="C223" s="17" t="s">
        <v>684</v>
      </c>
      <c r="D223" s="17" t="s">
        <v>894</v>
      </c>
      <c r="E223" s="17" t="s">
        <v>135</v>
      </c>
      <c r="F223" s="17" t="s">
        <v>735</v>
      </c>
      <c r="G223" s="17" t="s">
        <v>330</v>
      </c>
      <c r="H223" s="17" t="s">
        <v>331</v>
      </c>
      <c r="I223" s="17" t="s">
        <v>91</v>
      </c>
      <c r="J223" s="17" t="s">
        <v>539</v>
      </c>
    </row>
    <row r="224" customFormat="false" ht="15" hidden="false" customHeight="true" outlineLevel="0" collapsed="false">
      <c r="A224" s="17" t="n">
        <v>716</v>
      </c>
      <c r="B224" s="17" t="s">
        <v>540</v>
      </c>
      <c r="C224" s="17" t="s">
        <v>543</v>
      </c>
      <c r="D224" s="17" t="s">
        <v>895</v>
      </c>
      <c r="E224" s="17" t="s">
        <v>135</v>
      </c>
      <c r="F224" s="17" t="s">
        <v>466</v>
      </c>
      <c r="G224" s="17" t="s">
        <v>545</v>
      </c>
      <c r="H224" s="17" t="s">
        <v>331</v>
      </c>
      <c r="I224" s="17" t="s">
        <v>592</v>
      </c>
      <c r="J224" s="17" t="s">
        <v>539</v>
      </c>
    </row>
    <row r="225" customFormat="false" ht="15" hidden="false" customHeight="true" outlineLevel="0" collapsed="false">
      <c r="A225" s="17" t="n">
        <v>1386</v>
      </c>
      <c r="B225" s="17" t="s">
        <v>540</v>
      </c>
      <c r="C225" s="17" t="s">
        <v>805</v>
      </c>
      <c r="D225" s="17" t="s">
        <v>896</v>
      </c>
      <c r="E225" s="17" t="s">
        <v>135</v>
      </c>
      <c r="F225" s="17" t="s">
        <v>133</v>
      </c>
      <c r="G225" s="17" t="s">
        <v>330</v>
      </c>
      <c r="H225" s="17" t="s">
        <v>331</v>
      </c>
      <c r="I225" s="17" t="s">
        <v>592</v>
      </c>
      <c r="J225" s="17" t="s">
        <v>539</v>
      </c>
    </row>
    <row r="226" customFormat="false" ht="15" hidden="false" customHeight="true" outlineLevel="0" collapsed="false">
      <c r="A226" s="17" t="n">
        <v>715</v>
      </c>
      <c r="B226" s="17" t="s">
        <v>540</v>
      </c>
      <c r="C226" s="17" t="s">
        <v>543</v>
      </c>
      <c r="D226" s="17" t="s">
        <v>897</v>
      </c>
      <c r="E226" s="17" t="s">
        <v>135</v>
      </c>
      <c r="F226" s="17" t="s">
        <v>467</v>
      </c>
      <c r="G226" s="17" t="s">
        <v>545</v>
      </c>
      <c r="H226" s="17" t="s">
        <v>331</v>
      </c>
      <c r="I226" s="17" t="s">
        <v>592</v>
      </c>
      <c r="J226" s="17" t="s">
        <v>539</v>
      </c>
    </row>
    <row r="227" customFormat="false" ht="15" hidden="false" customHeight="true" outlineLevel="0" collapsed="false">
      <c r="A227" s="17" t="n">
        <v>1061</v>
      </c>
      <c r="B227" s="17" t="s">
        <v>540</v>
      </c>
      <c r="C227" s="17" t="s">
        <v>546</v>
      </c>
      <c r="D227" s="17" t="s">
        <v>898</v>
      </c>
      <c r="E227" s="17" t="s">
        <v>59</v>
      </c>
      <c r="F227" s="17" t="s">
        <v>23</v>
      </c>
      <c r="G227" s="17" t="s">
        <v>330</v>
      </c>
      <c r="H227" s="17" t="s">
        <v>331</v>
      </c>
      <c r="I227" s="17" t="s">
        <v>91</v>
      </c>
      <c r="J227" s="17" t="s">
        <v>539</v>
      </c>
    </row>
    <row r="228" customFormat="false" ht="15" hidden="false" customHeight="true" outlineLevel="0" collapsed="false">
      <c r="A228" s="17" t="n">
        <v>764</v>
      </c>
      <c r="B228" s="17" t="s">
        <v>540</v>
      </c>
      <c r="C228" s="17" t="s">
        <v>660</v>
      </c>
      <c r="D228" s="17" t="s">
        <v>899</v>
      </c>
      <c r="E228" s="17" t="s">
        <v>59</v>
      </c>
      <c r="F228" s="17" t="s">
        <v>71</v>
      </c>
      <c r="G228" s="17" t="s">
        <v>330</v>
      </c>
      <c r="H228" s="17" t="s">
        <v>331</v>
      </c>
      <c r="I228" s="17" t="s">
        <v>91</v>
      </c>
      <c r="J228" s="17" t="s">
        <v>539</v>
      </c>
    </row>
    <row r="229" customFormat="false" ht="15" hidden="false" customHeight="true" outlineLevel="0" collapsed="false">
      <c r="A229" s="17" t="n">
        <v>757</v>
      </c>
      <c r="B229" s="17" t="s">
        <v>540</v>
      </c>
      <c r="C229" s="17" t="s">
        <v>551</v>
      </c>
      <c r="D229" s="17" t="s">
        <v>900</v>
      </c>
      <c r="E229" s="17" t="s">
        <v>59</v>
      </c>
      <c r="F229" s="17" t="s">
        <v>26</v>
      </c>
      <c r="G229" s="17" t="s">
        <v>330</v>
      </c>
      <c r="H229" s="17" t="s">
        <v>331</v>
      </c>
      <c r="I229" s="17" t="s">
        <v>91</v>
      </c>
      <c r="J229" s="17" t="s">
        <v>539</v>
      </c>
    </row>
    <row r="230" customFormat="false" ht="15" hidden="false" customHeight="true" outlineLevel="0" collapsed="false">
      <c r="A230" s="17" t="n">
        <v>472</v>
      </c>
      <c r="B230" s="17" t="s">
        <v>535</v>
      </c>
      <c r="C230" s="17" t="s">
        <v>901</v>
      </c>
      <c r="D230" s="17" t="s">
        <v>902</v>
      </c>
      <c r="E230" s="17" t="s">
        <v>59</v>
      </c>
      <c r="F230" s="17" t="s">
        <v>35</v>
      </c>
      <c r="G230" s="17" t="s">
        <v>325</v>
      </c>
      <c r="H230" s="17" t="s">
        <v>538</v>
      </c>
      <c r="I230" s="17" t="s">
        <v>91</v>
      </c>
      <c r="J230" s="17" t="s">
        <v>539</v>
      </c>
    </row>
    <row r="231" customFormat="false" ht="15" hidden="false" customHeight="true" outlineLevel="0" collapsed="false">
      <c r="A231" s="17" t="n">
        <v>471</v>
      </c>
      <c r="B231" s="17" t="s">
        <v>535</v>
      </c>
      <c r="C231" s="17" t="s">
        <v>903</v>
      </c>
      <c r="D231" s="17" t="s">
        <v>904</v>
      </c>
      <c r="E231" s="17" t="s">
        <v>59</v>
      </c>
      <c r="F231" s="17" t="s">
        <v>38</v>
      </c>
      <c r="G231" s="17" t="s">
        <v>325</v>
      </c>
      <c r="H231" s="17" t="s">
        <v>538</v>
      </c>
      <c r="I231" s="17" t="s">
        <v>91</v>
      </c>
      <c r="J231" s="17" t="s">
        <v>539</v>
      </c>
    </row>
    <row r="232" customFormat="false" ht="15" hidden="false" customHeight="true" outlineLevel="0" collapsed="false">
      <c r="A232" s="17" t="n">
        <v>478</v>
      </c>
      <c r="B232" s="17" t="s">
        <v>535</v>
      </c>
      <c r="C232" s="17" t="s">
        <v>905</v>
      </c>
      <c r="D232" s="17" t="s">
        <v>906</v>
      </c>
      <c r="E232" s="17" t="s">
        <v>59</v>
      </c>
      <c r="F232" s="17" t="s">
        <v>41</v>
      </c>
      <c r="G232" s="17" t="s">
        <v>325</v>
      </c>
      <c r="H232" s="17" t="s">
        <v>538</v>
      </c>
      <c r="I232" s="17" t="s">
        <v>91</v>
      </c>
      <c r="J232" s="17" t="s">
        <v>539</v>
      </c>
    </row>
    <row r="233" customFormat="false" ht="15" hidden="false" customHeight="true" outlineLevel="0" collapsed="false">
      <c r="A233" s="17" t="n">
        <v>476</v>
      </c>
      <c r="B233" s="17" t="s">
        <v>535</v>
      </c>
      <c r="C233" s="17" t="s">
        <v>907</v>
      </c>
      <c r="D233" s="17" t="s">
        <v>908</v>
      </c>
      <c r="E233" s="17" t="s">
        <v>59</v>
      </c>
      <c r="F233" s="17" t="s">
        <v>45</v>
      </c>
      <c r="G233" s="17" t="s">
        <v>325</v>
      </c>
      <c r="H233" s="17" t="s">
        <v>538</v>
      </c>
      <c r="I233" s="17" t="s">
        <v>91</v>
      </c>
      <c r="J233" s="17" t="s">
        <v>539</v>
      </c>
    </row>
    <row r="234" customFormat="false" ht="15" hidden="false" customHeight="true" outlineLevel="0" collapsed="false">
      <c r="A234" s="17" t="n">
        <v>481</v>
      </c>
      <c r="B234" s="17" t="s">
        <v>535</v>
      </c>
      <c r="C234" s="17" t="s">
        <v>909</v>
      </c>
      <c r="D234" s="17" t="s">
        <v>910</v>
      </c>
      <c r="E234" s="17" t="s">
        <v>59</v>
      </c>
      <c r="F234" s="17" t="s">
        <v>49</v>
      </c>
      <c r="G234" s="17" t="s">
        <v>325</v>
      </c>
      <c r="H234" s="17" t="s">
        <v>538</v>
      </c>
      <c r="I234" s="17" t="s">
        <v>91</v>
      </c>
      <c r="J234" s="17" t="s">
        <v>539</v>
      </c>
    </row>
    <row r="235" customFormat="false" ht="15" hidden="false" customHeight="true" outlineLevel="0" collapsed="false">
      <c r="A235" s="17" t="n">
        <v>470</v>
      </c>
      <c r="B235" s="17" t="s">
        <v>535</v>
      </c>
      <c r="C235" s="17" t="s">
        <v>911</v>
      </c>
      <c r="D235" s="17" t="s">
        <v>912</v>
      </c>
      <c r="E235" s="17" t="s">
        <v>59</v>
      </c>
      <c r="F235" s="17" t="s">
        <v>53</v>
      </c>
      <c r="G235" s="17" t="s">
        <v>325</v>
      </c>
      <c r="H235" s="17" t="s">
        <v>538</v>
      </c>
      <c r="I235" s="17" t="s">
        <v>91</v>
      </c>
      <c r="J235" s="17" t="s">
        <v>539</v>
      </c>
    </row>
    <row r="236" customFormat="false" ht="15" hidden="false" customHeight="true" outlineLevel="0" collapsed="false">
      <c r="A236" s="17" t="n">
        <v>473</v>
      </c>
      <c r="B236" s="17" t="s">
        <v>535</v>
      </c>
      <c r="C236" s="17" t="s">
        <v>913</v>
      </c>
      <c r="D236" s="17" t="s">
        <v>914</v>
      </c>
      <c r="E236" s="17" t="s">
        <v>59</v>
      </c>
      <c r="F236" s="17" t="s">
        <v>610</v>
      </c>
      <c r="G236" s="17" t="s">
        <v>325</v>
      </c>
      <c r="H236" s="17" t="s">
        <v>538</v>
      </c>
      <c r="I236" s="17" t="s">
        <v>592</v>
      </c>
      <c r="J236" s="17" t="s">
        <v>539</v>
      </c>
    </row>
    <row r="237" customFormat="false" ht="15" hidden="false" customHeight="true" outlineLevel="0" collapsed="false">
      <c r="A237" s="17" t="n">
        <v>482</v>
      </c>
      <c r="B237" s="17" t="s">
        <v>535</v>
      </c>
      <c r="C237" s="17" t="s">
        <v>915</v>
      </c>
      <c r="D237" s="17" t="s">
        <v>916</v>
      </c>
      <c r="E237" s="17" t="s">
        <v>59</v>
      </c>
      <c r="F237" s="17" t="s">
        <v>56</v>
      </c>
      <c r="G237" s="17" t="s">
        <v>325</v>
      </c>
      <c r="H237" s="17" t="s">
        <v>538</v>
      </c>
      <c r="I237" s="17" t="s">
        <v>91</v>
      </c>
      <c r="J237" s="17" t="s">
        <v>539</v>
      </c>
    </row>
    <row r="238" customFormat="false" ht="15" hidden="false" customHeight="true" outlineLevel="0" collapsed="false">
      <c r="A238" s="17" t="n">
        <v>464</v>
      </c>
      <c r="B238" s="17" t="s">
        <v>535</v>
      </c>
      <c r="C238" s="17" t="s">
        <v>917</v>
      </c>
      <c r="D238" s="17" t="s">
        <v>918</v>
      </c>
      <c r="E238" s="17" t="s">
        <v>59</v>
      </c>
      <c r="F238" s="17" t="s">
        <v>86</v>
      </c>
      <c r="G238" s="17" t="s">
        <v>325</v>
      </c>
      <c r="H238" s="17" t="s">
        <v>538</v>
      </c>
      <c r="I238" s="17" t="s">
        <v>91</v>
      </c>
      <c r="J238" s="17" t="s">
        <v>539</v>
      </c>
    </row>
    <row r="239" customFormat="false" ht="15" hidden="false" customHeight="true" outlineLevel="0" collapsed="false">
      <c r="A239" s="17" t="n">
        <v>467</v>
      </c>
      <c r="B239" s="17" t="s">
        <v>535</v>
      </c>
      <c r="C239" s="17" t="s">
        <v>919</v>
      </c>
      <c r="D239" s="17" t="s">
        <v>920</v>
      </c>
      <c r="E239" s="17" t="s">
        <v>59</v>
      </c>
      <c r="F239" s="17" t="s">
        <v>614</v>
      </c>
      <c r="G239" s="17" t="s">
        <v>325</v>
      </c>
      <c r="H239" s="17" t="s">
        <v>538</v>
      </c>
      <c r="I239" s="17" t="s">
        <v>91</v>
      </c>
      <c r="J239" s="17" t="s">
        <v>539</v>
      </c>
    </row>
    <row r="240" customFormat="false" ht="15" hidden="false" customHeight="true" outlineLevel="0" collapsed="false">
      <c r="A240" s="17" t="n">
        <v>479</v>
      </c>
      <c r="B240" s="17" t="s">
        <v>535</v>
      </c>
      <c r="C240" s="17" t="s">
        <v>921</v>
      </c>
      <c r="D240" s="17" t="s">
        <v>922</v>
      </c>
      <c r="E240" s="17" t="s">
        <v>59</v>
      </c>
      <c r="F240" s="17" t="s">
        <v>616</v>
      </c>
      <c r="G240" s="17" t="s">
        <v>325</v>
      </c>
      <c r="H240" s="17" t="s">
        <v>538</v>
      </c>
      <c r="I240" s="17" t="s">
        <v>91</v>
      </c>
      <c r="J240" s="17" t="s">
        <v>539</v>
      </c>
    </row>
    <row r="241" customFormat="false" ht="15" hidden="false" customHeight="true" outlineLevel="0" collapsed="false">
      <c r="A241" s="17" t="n">
        <v>465</v>
      </c>
      <c r="B241" s="17" t="s">
        <v>535</v>
      </c>
      <c r="C241" s="17" t="s">
        <v>923</v>
      </c>
      <c r="D241" s="17" t="s">
        <v>924</v>
      </c>
      <c r="E241" s="17" t="s">
        <v>59</v>
      </c>
      <c r="F241" s="17" t="s">
        <v>618</v>
      </c>
      <c r="G241" s="17" t="s">
        <v>325</v>
      </c>
      <c r="H241" s="17" t="s">
        <v>538</v>
      </c>
      <c r="I241" s="17" t="s">
        <v>91</v>
      </c>
      <c r="J241" s="17" t="s">
        <v>539</v>
      </c>
    </row>
    <row r="242" customFormat="false" ht="15" hidden="false" customHeight="true" outlineLevel="0" collapsed="false">
      <c r="A242" s="17" t="n">
        <v>466</v>
      </c>
      <c r="B242" s="17" t="s">
        <v>535</v>
      </c>
      <c r="C242" s="17" t="s">
        <v>925</v>
      </c>
      <c r="D242" s="17" t="s">
        <v>926</v>
      </c>
      <c r="E242" s="17" t="s">
        <v>59</v>
      </c>
      <c r="F242" s="17" t="s">
        <v>620</v>
      </c>
      <c r="G242" s="17" t="s">
        <v>325</v>
      </c>
      <c r="H242" s="17" t="s">
        <v>538</v>
      </c>
      <c r="I242" s="17" t="s">
        <v>91</v>
      </c>
      <c r="J242" s="17" t="s">
        <v>539</v>
      </c>
    </row>
    <row r="243" customFormat="false" ht="15" hidden="false" customHeight="true" outlineLevel="0" collapsed="false">
      <c r="A243" s="17" t="n">
        <v>468</v>
      </c>
      <c r="B243" s="17" t="s">
        <v>535</v>
      </c>
      <c r="C243" s="17" t="s">
        <v>927</v>
      </c>
      <c r="D243" s="17" t="s">
        <v>928</v>
      </c>
      <c r="E243" s="17" t="s">
        <v>59</v>
      </c>
      <c r="F243" s="17" t="s">
        <v>622</v>
      </c>
      <c r="G243" s="17" t="s">
        <v>325</v>
      </c>
      <c r="H243" s="17" t="s">
        <v>538</v>
      </c>
      <c r="I243" s="17" t="s">
        <v>91</v>
      </c>
      <c r="J243" s="17" t="s">
        <v>539</v>
      </c>
    </row>
    <row r="244" customFormat="false" ht="15" hidden="false" customHeight="true" outlineLevel="0" collapsed="false">
      <c r="A244" s="17" t="n">
        <v>474</v>
      </c>
      <c r="B244" s="17" t="s">
        <v>535</v>
      </c>
      <c r="C244" s="17" t="s">
        <v>929</v>
      </c>
      <c r="D244" s="17" t="s">
        <v>930</v>
      </c>
      <c r="E244" s="17" t="s">
        <v>59</v>
      </c>
      <c r="F244" s="17" t="s">
        <v>624</v>
      </c>
      <c r="G244" s="17" t="s">
        <v>325</v>
      </c>
      <c r="H244" s="17" t="s">
        <v>538</v>
      </c>
      <c r="I244" s="17" t="s">
        <v>91</v>
      </c>
      <c r="J244" s="17" t="s">
        <v>539</v>
      </c>
    </row>
    <row r="245" customFormat="false" ht="15" hidden="false" customHeight="true" outlineLevel="0" collapsed="false">
      <c r="A245" s="17" t="n">
        <v>477</v>
      </c>
      <c r="B245" s="17" t="s">
        <v>535</v>
      </c>
      <c r="C245" s="17" t="s">
        <v>931</v>
      </c>
      <c r="D245" s="17" t="s">
        <v>932</v>
      </c>
      <c r="E245" s="17" t="s">
        <v>59</v>
      </c>
      <c r="F245" s="17" t="s">
        <v>137</v>
      </c>
      <c r="G245" s="17" t="s">
        <v>325</v>
      </c>
      <c r="H245" s="17" t="s">
        <v>538</v>
      </c>
      <c r="I245" s="17" t="s">
        <v>91</v>
      </c>
      <c r="J245" s="17" t="s">
        <v>539</v>
      </c>
    </row>
    <row r="246" customFormat="false" ht="15" hidden="false" customHeight="true" outlineLevel="0" collapsed="false">
      <c r="A246" s="17" t="n">
        <v>480</v>
      </c>
      <c r="B246" s="17" t="s">
        <v>535</v>
      </c>
      <c r="C246" s="17" t="s">
        <v>933</v>
      </c>
      <c r="D246" s="17" t="s">
        <v>934</v>
      </c>
      <c r="E246" s="17" t="s">
        <v>59</v>
      </c>
      <c r="F246" s="17" t="s">
        <v>627</v>
      </c>
      <c r="G246" s="17" t="s">
        <v>325</v>
      </c>
      <c r="H246" s="17" t="s">
        <v>538</v>
      </c>
      <c r="I246" s="17" t="s">
        <v>91</v>
      </c>
      <c r="J246" s="17" t="s">
        <v>539</v>
      </c>
    </row>
    <row r="247" customFormat="false" ht="15" hidden="false" customHeight="true" outlineLevel="0" collapsed="false">
      <c r="A247" s="17" t="n">
        <v>1443</v>
      </c>
      <c r="B247" s="17" t="s">
        <v>635</v>
      </c>
      <c r="C247" s="17" t="s">
        <v>935</v>
      </c>
      <c r="D247" s="17" t="s">
        <v>936</v>
      </c>
      <c r="E247" s="17" t="s">
        <v>59</v>
      </c>
      <c r="F247" s="17" t="s">
        <v>780</v>
      </c>
      <c r="G247" s="17" t="s">
        <v>380</v>
      </c>
      <c r="H247" s="17" t="s">
        <v>381</v>
      </c>
      <c r="I247" s="17" t="s">
        <v>91</v>
      </c>
      <c r="J247" s="17" t="s">
        <v>539</v>
      </c>
    </row>
    <row r="248" customFormat="false" ht="15" hidden="false" customHeight="true" outlineLevel="0" collapsed="false">
      <c r="A248" s="17" t="n">
        <v>1444</v>
      </c>
      <c r="B248" s="17" t="s">
        <v>635</v>
      </c>
      <c r="C248" s="17" t="s">
        <v>937</v>
      </c>
      <c r="D248" s="17" t="s">
        <v>938</v>
      </c>
      <c r="E248" s="17" t="s">
        <v>59</v>
      </c>
      <c r="F248" s="17" t="s">
        <v>782</v>
      </c>
      <c r="G248" s="17" t="s">
        <v>380</v>
      </c>
      <c r="H248" s="17" t="s">
        <v>381</v>
      </c>
      <c r="I248" s="17" t="s">
        <v>91</v>
      </c>
      <c r="J248" s="17" t="s">
        <v>539</v>
      </c>
    </row>
    <row r="249" customFormat="false" ht="15" hidden="false" customHeight="true" outlineLevel="0" collapsed="false">
      <c r="A249" s="17" t="n">
        <v>1442</v>
      </c>
      <c r="B249" s="17" t="s">
        <v>635</v>
      </c>
      <c r="C249" s="17" t="s">
        <v>939</v>
      </c>
      <c r="D249" s="17" t="s">
        <v>940</v>
      </c>
      <c r="E249" s="17" t="s">
        <v>59</v>
      </c>
      <c r="F249" s="17" t="s">
        <v>784</v>
      </c>
      <c r="G249" s="17" t="s">
        <v>380</v>
      </c>
      <c r="H249" s="17" t="s">
        <v>381</v>
      </c>
      <c r="I249" s="17" t="s">
        <v>91</v>
      </c>
      <c r="J249" s="17" t="s">
        <v>539</v>
      </c>
    </row>
    <row r="250" customFormat="false" ht="15" hidden="false" customHeight="true" outlineLevel="0" collapsed="false">
      <c r="A250" s="17" t="n">
        <v>1445</v>
      </c>
      <c r="B250" s="17" t="s">
        <v>635</v>
      </c>
      <c r="C250" s="17" t="s">
        <v>941</v>
      </c>
      <c r="D250" s="17" t="s">
        <v>942</v>
      </c>
      <c r="E250" s="17" t="s">
        <v>59</v>
      </c>
      <c r="F250" s="17" t="s">
        <v>786</v>
      </c>
      <c r="G250" s="17" t="s">
        <v>380</v>
      </c>
      <c r="H250" s="17" t="s">
        <v>381</v>
      </c>
      <c r="I250" s="17" t="s">
        <v>91</v>
      </c>
      <c r="J250" s="17" t="s">
        <v>539</v>
      </c>
    </row>
    <row r="251" customFormat="false" ht="15" hidden="false" customHeight="true" outlineLevel="0" collapsed="false">
      <c r="A251" s="17" t="n">
        <v>927</v>
      </c>
      <c r="B251" s="17" t="s">
        <v>540</v>
      </c>
      <c r="C251" s="17" t="s">
        <v>943</v>
      </c>
      <c r="D251" s="17" t="s">
        <v>944</v>
      </c>
      <c r="E251" s="17" t="s">
        <v>59</v>
      </c>
      <c r="F251" s="17" t="s">
        <v>638</v>
      </c>
      <c r="G251" s="17" t="s">
        <v>330</v>
      </c>
      <c r="H251" s="17" t="s">
        <v>331</v>
      </c>
      <c r="I251" s="17" t="s">
        <v>91</v>
      </c>
      <c r="J251" s="17" t="s">
        <v>539</v>
      </c>
    </row>
    <row r="252" customFormat="false" ht="15" hidden="false" customHeight="true" outlineLevel="0" collapsed="false">
      <c r="A252" s="17" t="n">
        <v>1224</v>
      </c>
      <c r="B252" s="17" t="s">
        <v>540</v>
      </c>
      <c r="C252" s="17" t="s">
        <v>559</v>
      </c>
      <c r="D252" s="17" t="s">
        <v>945</v>
      </c>
      <c r="E252" s="17" t="s">
        <v>59</v>
      </c>
      <c r="F252" s="17" t="s">
        <v>641</v>
      </c>
      <c r="G252" s="17" t="s">
        <v>330</v>
      </c>
      <c r="H252" s="17" t="s">
        <v>331</v>
      </c>
      <c r="I252" s="17" t="s">
        <v>91</v>
      </c>
      <c r="J252" s="17" t="s">
        <v>539</v>
      </c>
    </row>
    <row r="253" customFormat="false" ht="15" hidden="false" customHeight="true" outlineLevel="0" collapsed="false">
      <c r="A253" s="17" t="n">
        <v>1138</v>
      </c>
      <c r="B253" s="17" t="s">
        <v>540</v>
      </c>
      <c r="C253" s="17" t="s">
        <v>653</v>
      </c>
      <c r="D253" s="17" t="s">
        <v>946</v>
      </c>
      <c r="E253" s="17" t="s">
        <v>59</v>
      </c>
      <c r="F253" s="17" t="s">
        <v>644</v>
      </c>
      <c r="G253" s="17" t="s">
        <v>330</v>
      </c>
      <c r="H253" s="17" t="s">
        <v>331</v>
      </c>
      <c r="I253" s="17" t="s">
        <v>91</v>
      </c>
      <c r="J253" s="17" t="s">
        <v>539</v>
      </c>
    </row>
    <row r="254" customFormat="false" ht="15" hidden="false" customHeight="true" outlineLevel="0" collapsed="false">
      <c r="A254" s="17" t="n">
        <v>1306</v>
      </c>
      <c r="B254" s="17" t="s">
        <v>540</v>
      </c>
      <c r="C254" s="17" t="s">
        <v>571</v>
      </c>
      <c r="D254" s="17" t="s">
        <v>947</v>
      </c>
      <c r="E254" s="17" t="s">
        <v>59</v>
      </c>
      <c r="F254" s="17" t="s">
        <v>338</v>
      </c>
      <c r="G254" s="17" t="s">
        <v>330</v>
      </c>
      <c r="H254" s="17" t="s">
        <v>331</v>
      </c>
      <c r="I254" s="17" t="s">
        <v>91</v>
      </c>
      <c r="J254" s="17" t="s">
        <v>539</v>
      </c>
    </row>
    <row r="255" customFormat="false" ht="15" hidden="false" customHeight="true" outlineLevel="0" collapsed="false">
      <c r="A255" s="17" t="n">
        <v>702</v>
      </c>
      <c r="B255" s="17" t="s">
        <v>540</v>
      </c>
      <c r="C255" s="17" t="s">
        <v>543</v>
      </c>
      <c r="D255" s="17" t="s">
        <v>948</v>
      </c>
      <c r="E255" s="17" t="s">
        <v>59</v>
      </c>
      <c r="F255" s="17" t="s">
        <v>656</v>
      </c>
      <c r="G255" s="17" t="s">
        <v>545</v>
      </c>
      <c r="H255" s="17" t="s">
        <v>331</v>
      </c>
      <c r="I255" s="17" t="s">
        <v>91</v>
      </c>
      <c r="J255" s="17" t="s">
        <v>539</v>
      </c>
    </row>
    <row r="256" customFormat="false" ht="15" hidden="false" customHeight="true" outlineLevel="0" collapsed="false">
      <c r="A256" s="17" t="n">
        <v>762</v>
      </c>
      <c r="B256" s="17" t="s">
        <v>540</v>
      </c>
      <c r="C256" s="17" t="s">
        <v>660</v>
      </c>
      <c r="D256" s="17" t="s">
        <v>949</v>
      </c>
      <c r="E256" s="17" t="s">
        <v>59</v>
      </c>
      <c r="F256" s="17" t="s">
        <v>99</v>
      </c>
      <c r="G256" s="17" t="s">
        <v>330</v>
      </c>
      <c r="H256" s="17" t="s">
        <v>331</v>
      </c>
      <c r="I256" s="17" t="s">
        <v>91</v>
      </c>
      <c r="J256" s="17" t="s">
        <v>539</v>
      </c>
    </row>
    <row r="257" customFormat="false" ht="15" hidden="false" customHeight="true" outlineLevel="0" collapsed="false">
      <c r="A257" s="17" t="n">
        <v>1054</v>
      </c>
      <c r="B257" s="17" t="s">
        <v>540</v>
      </c>
      <c r="C257" s="17" t="s">
        <v>546</v>
      </c>
      <c r="D257" s="17" t="s">
        <v>950</v>
      </c>
      <c r="E257" s="17" t="s">
        <v>59</v>
      </c>
      <c r="F257" s="17" t="s">
        <v>99</v>
      </c>
      <c r="G257" s="17" t="s">
        <v>330</v>
      </c>
      <c r="H257" s="17" t="s">
        <v>331</v>
      </c>
      <c r="I257" s="17" t="s">
        <v>91</v>
      </c>
      <c r="J257" s="17" t="s">
        <v>539</v>
      </c>
    </row>
    <row r="258" customFormat="false" ht="15" hidden="false" customHeight="true" outlineLevel="0" collapsed="false">
      <c r="A258" s="17" t="n">
        <v>1310</v>
      </c>
      <c r="B258" s="17" t="s">
        <v>540</v>
      </c>
      <c r="C258" s="17" t="s">
        <v>571</v>
      </c>
      <c r="D258" s="17" t="s">
        <v>951</v>
      </c>
      <c r="E258" s="17" t="s">
        <v>59</v>
      </c>
      <c r="F258" s="17" t="s">
        <v>812</v>
      </c>
      <c r="G258" s="17" t="s">
        <v>330</v>
      </c>
      <c r="H258" s="17" t="s">
        <v>331</v>
      </c>
      <c r="I258" s="17" t="s">
        <v>91</v>
      </c>
      <c r="J258" s="17" t="s">
        <v>539</v>
      </c>
    </row>
    <row r="259" customFormat="false" ht="15" hidden="false" customHeight="true" outlineLevel="0" collapsed="false">
      <c r="A259" s="17" t="n">
        <v>1280</v>
      </c>
      <c r="B259" s="17" t="s">
        <v>540</v>
      </c>
      <c r="C259" s="17" t="s">
        <v>575</v>
      </c>
      <c r="D259" s="17" t="s">
        <v>952</v>
      </c>
      <c r="E259" s="17" t="s">
        <v>59</v>
      </c>
      <c r="F259" s="17" t="s">
        <v>383</v>
      </c>
      <c r="G259" s="17" t="s">
        <v>344</v>
      </c>
      <c r="H259" s="17" t="s">
        <v>331</v>
      </c>
      <c r="I259" s="17" t="s">
        <v>91</v>
      </c>
      <c r="J259" s="17" t="s">
        <v>539</v>
      </c>
    </row>
    <row r="260" customFormat="false" ht="15" hidden="false" customHeight="true" outlineLevel="0" collapsed="false">
      <c r="A260" s="17" t="n">
        <v>766</v>
      </c>
      <c r="B260" s="17" t="s">
        <v>540</v>
      </c>
      <c r="C260" s="17" t="s">
        <v>660</v>
      </c>
      <c r="D260" s="17" t="s">
        <v>953</v>
      </c>
      <c r="E260" s="17" t="s">
        <v>59</v>
      </c>
      <c r="F260" s="17" t="s">
        <v>659</v>
      </c>
      <c r="G260" s="17" t="s">
        <v>330</v>
      </c>
      <c r="H260" s="17" t="s">
        <v>331</v>
      </c>
      <c r="I260" s="17" t="s">
        <v>91</v>
      </c>
      <c r="J260" s="17" t="s">
        <v>539</v>
      </c>
    </row>
    <row r="261" customFormat="false" ht="15" hidden="false" customHeight="true" outlineLevel="0" collapsed="false">
      <c r="A261" s="17" t="n">
        <v>1051</v>
      </c>
      <c r="B261" s="17" t="s">
        <v>540</v>
      </c>
      <c r="C261" s="17" t="s">
        <v>546</v>
      </c>
      <c r="D261" s="17" t="s">
        <v>954</v>
      </c>
      <c r="E261" s="17" t="s">
        <v>59</v>
      </c>
      <c r="F261" s="17" t="s">
        <v>659</v>
      </c>
      <c r="G261" s="17" t="s">
        <v>330</v>
      </c>
      <c r="H261" s="17" t="s">
        <v>331</v>
      </c>
      <c r="I261" s="17" t="s">
        <v>91</v>
      </c>
      <c r="J261" s="17" t="s">
        <v>539</v>
      </c>
    </row>
    <row r="262" customFormat="false" ht="15" hidden="false" customHeight="true" outlineLevel="0" collapsed="false">
      <c r="A262" s="17" t="n">
        <v>703</v>
      </c>
      <c r="B262" s="17" t="s">
        <v>540</v>
      </c>
      <c r="C262" s="17" t="s">
        <v>543</v>
      </c>
      <c r="D262" s="17" t="s">
        <v>955</v>
      </c>
      <c r="E262" s="17" t="s">
        <v>59</v>
      </c>
      <c r="F262" s="17" t="s">
        <v>384</v>
      </c>
      <c r="G262" s="17" t="s">
        <v>545</v>
      </c>
      <c r="H262" s="17" t="s">
        <v>331</v>
      </c>
      <c r="I262" s="17" t="s">
        <v>91</v>
      </c>
      <c r="J262" s="17" t="s">
        <v>539</v>
      </c>
    </row>
    <row r="263" customFormat="false" ht="15" hidden="false" customHeight="true" outlineLevel="0" collapsed="false">
      <c r="A263" s="17" t="n">
        <v>1267</v>
      </c>
      <c r="B263" s="17" t="s">
        <v>540</v>
      </c>
      <c r="C263" s="17" t="s">
        <v>575</v>
      </c>
      <c r="D263" s="17" t="s">
        <v>956</v>
      </c>
      <c r="E263" s="17" t="s">
        <v>59</v>
      </c>
      <c r="F263" s="17" t="s">
        <v>141</v>
      </c>
      <c r="G263" s="17" t="s">
        <v>344</v>
      </c>
      <c r="H263" s="17" t="s">
        <v>331</v>
      </c>
      <c r="I263" s="17" t="s">
        <v>91</v>
      </c>
      <c r="J263" s="17" t="s">
        <v>539</v>
      </c>
    </row>
    <row r="264" customFormat="false" ht="15" hidden="false" customHeight="true" outlineLevel="0" collapsed="false">
      <c r="A264" s="17" t="n">
        <v>1308</v>
      </c>
      <c r="B264" s="17" t="s">
        <v>540</v>
      </c>
      <c r="C264" s="17" t="s">
        <v>571</v>
      </c>
      <c r="D264" s="17" t="s">
        <v>957</v>
      </c>
      <c r="E264" s="17" t="s">
        <v>59</v>
      </c>
      <c r="F264" s="17" t="s">
        <v>664</v>
      </c>
      <c r="G264" s="17" t="s">
        <v>330</v>
      </c>
      <c r="H264" s="17" t="s">
        <v>331</v>
      </c>
      <c r="I264" s="17" t="s">
        <v>91</v>
      </c>
      <c r="J264" s="17" t="s">
        <v>539</v>
      </c>
    </row>
    <row r="265" customFormat="false" ht="15" hidden="false" customHeight="true" outlineLevel="0" collapsed="false">
      <c r="A265" s="17" t="n">
        <v>770</v>
      </c>
      <c r="B265" s="17" t="s">
        <v>540</v>
      </c>
      <c r="C265" s="17" t="s">
        <v>660</v>
      </c>
      <c r="D265" s="17" t="s">
        <v>958</v>
      </c>
      <c r="E265" s="17" t="s">
        <v>59</v>
      </c>
      <c r="F265" s="17" t="s">
        <v>666</v>
      </c>
      <c r="G265" s="17" t="s">
        <v>330</v>
      </c>
      <c r="H265" s="17" t="s">
        <v>331</v>
      </c>
      <c r="I265" s="17" t="s">
        <v>91</v>
      </c>
      <c r="J265" s="17" t="s">
        <v>539</v>
      </c>
    </row>
    <row r="266" customFormat="false" ht="15" hidden="false" customHeight="true" outlineLevel="0" collapsed="false">
      <c r="A266" s="17" t="n">
        <v>1059</v>
      </c>
      <c r="B266" s="17" t="s">
        <v>540</v>
      </c>
      <c r="C266" s="17" t="s">
        <v>546</v>
      </c>
      <c r="D266" s="17" t="s">
        <v>959</v>
      </c>
      <c r="E266" s="17" t="s">
        <v>59</v>
      </c>
      <c r="F266" s="17" t="s">
        <v>666</v>
      </c>
      <c r="G266" s="17" t="s">
        <v>330</v>
      </c>
      <c r="H266" s="17" t="s">
        <v>331</v>
      </c>
      <c r="I266" s="17" t="s">
        <v>91</v>
      </c>
      <c r="J266" s="17" t="s">
        <v>539</v>
      </c>
    </row>
    <row r="267" customFormat="false" ht="15" hidden="false" customHeight="true" outlineLevel="0" collapsed="false">
      <c r="A267" s="17" t="n">
        <v>709</v>
      </c>
      <c r="B267" s="17" t="s">
        <v>540</v>
      </c>
      <c r="C267" s="17" t="s">
        <v>543</v>
      </c>
      <c r="D267" s="17" t="s">
        <v>960</v>
      </c>
      <c r="E267" s="17" t="s">
        <v>59</v>
      </c>
      <c r="F267" s="17" t="s">
        <v>339</v>
      </c>
      <c r="G267" s="17" t="s">
        <v>545</v>
      </c>
      <c r="H267" s="17" t="s">
        <v>331</v>
      </c>
      <c r="I267" s="17" t="s">
        <v>91</v>
      </c>
      <c r="J267" s="17" t="s">
        <v>539</v>
      </c>
    </row>
    <row r="268" customFormat="false" ht="15" hidden="false" customHeight="true" outlineLevel="0" collapsed="false">
      <c r="A268" s="17" t="n">
        <v>1262</v>
      </c>
      <c r="B268" s="17" t="s">
        <v>540</v>
      </c>
      <c r="C268" s="17" t="s">
        <v>575</v>
      </c>
      <c r="D268" s="17" t="s">
        <v>961</v>
      </c>
      <c r="E268" s="17" t="s">
        <v>59</v>
      </c>
      <c r="F268" s="17" t="s">
        <v>668</v>
      </c>
      <c r="G268" s="17" t="s">
        <v>344</v>
      </c>
      <c r="H268" s="17" t="s">
        <v>331</v>
      </c>
      <c r="I268" s="17" t="s">
        <v>91</v>
      </c>
      <c r="J268" s="17" t="s">
        <v>539</v>
      </c>
    </row>
    <row r="269" customFormat="false" ht="15" hidden="false" customHeight="true" outlineLevel="0" collapsed="false">
      <c r="A269" s="17" t="n">
        <v>1303</v>
      </c>
      <c r="B269" s="17" t="s">
        <v>540</v>
      </c>
      <c r="C269" s="17" t="s">
        <v>571</v>
      </c>
      <c r="D269" s="17" t="s">
        <v>962</v>
      </c>
      <c r="E269" s="17" t="s">
        <v>59</v>
      </c>
      <c r="F269" s="17" t="s">
        <v>670</v>
      </c>
      <c r="G269" s="17" t="s">
        <v>330</v>
      </c>
      <c r="H269" s="17" t="s">
        <v>331</v>
      </c>
      <c r="I269" s="17" t="s">
        <v>91</v>
      </c>
      <c r="J269" s="17" t="s">
        <v>539</v>
      </c>
    </row>
    <row r="270" customFormat="false" ht="15" hidden="false" customHeight="true" outlineLevel="0" collapsed="false">
      <c r="A270" s="17" t="n">
        <v>713</v>
      </c>
      <c r="B270" s="17" t="s">
        <v>540</v>
      </c>
      <c r="C270" s="17" t="s">
        <v>543</v>
      </c>
      <c r="D270" s="17" t="s">
        <v>963</v>
      </c>
      <c r="E270" s="17" t="s">
        <v>59</v>
      </c>
      <c r="F270" s="17" t="s">
        <v>341</v>
      </c>
      <c r="G270" s="17" t="s">
        <v>545</v>
      </c>
      <c r="H270" s="17" t="s">
        <v>331</v>
      </c>
      <c r="I270" s="17" t="s">
        <v>91</v>
      </c>
      <c r="J270" s="17" t="s">
        <v>539</v>
      </c>
    </row>
    <row r="271" customFormat="false" ht="15" hidden="false" customHeight="true" outlineLevel="0" collapsed="false">
      <c r="A271" s="17" t="n">
        <v>767</v>
      </c>
      <c r="B271" s="17" t="s">
        <v>540</v>
      </c>
      <c r="C271" s="17" t="s">
        <v>660</v>
      </c>
      <c r="D271" s="17" t="s">
        <v>964</v>
      </c>
      <c r="E271" s="17" t="s">
        <v>59</v>
      </c>
      <c r="F271" s="17" t="s">
        <v>672</v>
      </c>
      <c r="G271" s="17" t="s">
        <v>330</v>
      </c>
      <c r="H271" s="17" t="s">
        <v>331</v>
      </c>
      <c r="I271" s="17" t="s">
        <v>91</v>
      </c>
      <c r="J271" s="17" t="s">
        <v>539</v>
      </c>
    </row>
    <row r="272" customFormat="false" ht="15" hidden="false" customHeight="true" outlineLevel="0" collapsed="false">
      <c r="A272" s="17" t="n">
        <v>1055</v>
      </c>
      <c r="B272" s="17" t="s">
        <v>540</v>
      </c>
      <c r="C272" s="17" t="s">
        <v>546</v>
      </c>
      <c r="D272" s="17" t="s">
        <v>965</v>
      </c>
      <c r="E272" s="17" t="s">
        <v>59</v>
      </c>
      <c r="F272" s="17" t="s">
        <v>672</v>
      </c>
      <c r="G272" s="17" t="s">
        <v>330</v>
      </c>
      <c r="H272" s="17" t="s">
        <v>331</v>
      </c>
      <c r="I272" s="17" t="s">
        <v>91</v>
      </c>
      <c r="J272" s="17" t="s">
        <v>539</v>
      </c>
    </row>
    <row r="273" customFormat="false" ht="15" hidden="false" customHeight="true" outlineLevel="0" collapsed="false">
      <c r="A273" s="17" t="n">
        <v>1265</v>
      </c>
      <c r="B273" s="17" t="s">
        <v>540</v>
      </c>
      <c r="C273" s="17" t="s">
        <v>575</v>
      </c>
      <c r="D273" s="17" t="s">
        <v>966</v>
      </c>
      <c r="E273" s="17" t="s">
        <v>59</v>
      </c>
      <c r="F273" s="17" t="s">
        <v>103</v>
      </c>
      <c r="G273" s="17" t="s">
        <v>344</v>
      </c>
      <c r="H273" s="17" t="s">
        <v>331</v>
      </c>
      <c r="I273" s="17" t="s">
        <v>592</v>
      </c>
      <c r="J273" s="17" t="s">
        <v>539</v>
      </c>
    </row>
    <row r="274" customFormat="false" ht="15" hidden="false" customHeight="true" outlineLevel="0" collapsed="false">
      <c r="A274" s="17" t="n">
        <v>765</v>
      </c>
      <c r="B274" s="17" t="s">
        <v>540</v>
      </c>
      <c r="C274" s="17" t="s">
        <v>660</v>
      </c>
      <c r="D274" s="17" t="s">
        <v>967</v>
      </c>
      <c r="E274" s="17" t="s">
        <v>59</v>
      </c>
      <c r="F274" s="17" t="s">
        <v>674</v>
      </c>
      <c r="G274" s="17" t="s">
        <v>330</v>
      </c>
      <c r="H274" s="17" t="s">
        <v>331</v>
      </c>
      <c r="I274" s="17" t="s">
        <v>592</v>
      </c>
      <c r="J274" s="17" t="s">
        <v>539</v>
      </c>
    </row>
    <row r="275" customFormat="false" ht="15" hidden="false" customHeight="true" outlineLevel="0" collapsed="false">
      <c r="A275" s="17" t="n">
        <v>1057</v>
      </c>
      <c r="B275" s="17" t="s">
        <v>540</v>
      </c>
      <c r="C275" s="17" t="s">
        <v>546</v>
      </c>
      <c r="D275" s="17" t="s">
        <v>968</v>
      </c>
      <c r="E275" s="17" t="s">
        <v>59</v>
      </c>
      <c r="F275" s="17" t="s">
        <v>674</v>
      </c>
      <c r="G275" s="17" t="s">
        <v>330</v>
      </c>
      <c r="H275" s="17" t="s">
        <v>331</v>
      </c>
      <c r="I275" s="17" t="s">
        <v>592</v>
      </c>
      <c r="J275" s="17" t="s">
        <v>539</v>
      </c>
    </row>
    <row r="276" customFormat="false" ht="15" hidden="false" customHeight="true" outlineLevel="0" collapsed="false">
      <c r="A276" s="17" t="n">
        <v>1261</v>
      </c>
      <c r="B276" s="17" t="s">
        <v>540</v>
      </c>
      <c r="C276" s="17" t="s">
        <v>575</v>
      </c>
      <c r="D276" s="17" t="s">
        <v>969</v>
      </c>
      <c r="E276" s="17" t="s">
        <v>59</v>
      </c>
      <c r="F276" s="17" t="s">
        <v>677</v>
      </c>
      <c r="G276" s="17" t="s">
        <v>344</v>
      </c>
      <c r="H276" s="17" t="s">
        <v>331</v>
      </c>
      <c r="I276" s="17" t="s">
        <v>91</v>
      </c>
      <c r="J276" s="17" t="s">
        <v>539</v>
      </c>
    </row>
    <row r="277" customFormat="false" ht="15" hidden="false" customHeight="true" outlineLevel="0" collapsed="false">
      <c r="A277" s="17" t="n">
        <v>941</v>
      </c>
      <c r="B277" s="17" t="s">
        <v>540</v>
      </c>
      <c r="C277" s="17" t="s">
        <v>561</v>
      </c>
      <c r="D277" s="17" t="s">
        <v>970</v>
      </c>
      <c r="E277" s="17" t="s">
        <v>59</v>
      </c>
      <c r="F277" s="17" t="s">
        <v>679</v>
      </c>
      <c r="G277" s="17" t="s">
        <v>330</v>
      </c>
      <c r="H277" s="17" t="s">
        <v>331</v>
      </c>
      <c r="I277" s="17" t="s">
        <v>592</v>
      </c>
      <c r="J277" s="17" t="s">
        <v>539</v>
      </c>
    </row>
    <row r="278" customFormat="false" ht="15" hidden="false" customHeight="true" outlineLevel="0" collapsed="false">
      <c r="A278" s="17" t="n">
        <v>1218</v>
      </c>
      <c r="B278" s="17" t="s">
        <v>540</v>
      </c>
      <c r="C278" s="17" t="s">
        <v>559</v>
      </c>
      <c r="D278" s="17" t="s">
        <v>971</v>
      </c>
      <c r="E278" s="17" t="s">
        <v>59</v>
      </c>
      <c r="F278" s="17" t="s">
        <v>681</v>
      </c>
      <c r="G278" s="17" t="s">
        <v>330</v>
      </c>
      <c r="H278" s="17" t="s">
        <v>331</v>
      </c>
      <c r="I278" s="17" t="s">
        <v>592</v>
      </c>
      <c r="J278" s="17" t="s">
        <v>539</v>
      </c>
    </row>
    <row r="279" customFormat="false" ht="15" hidden="false" customHeight="true" outlineLevel="0" collapsed="false">
      <c r="A279" s="17" t="n">
        <v>1302</v>
      </c>
      <c r="B279" s="17" t="s">
        <v>540</v>
      </c>
      <c r="C279" s="17" t="s">
        <v>571</v>
      </c>
      <c r="D279" s="17" t="s">
        <v>972</v>
      </c>
      <c r="E279" s="17" t="s">
        <v>59</v>
      </c>
      <c r="F279" s="17" t="s">
        <v>342</v>
      </c>
      <c r="G279" s="17" t="s">
        <v>330</v>
      </c>
      <c r="H279" s="17" t="s">
        <v>331</v>
      </c>
      <c r="I279" s="17" t="s">
        <v>592</v>
      </c>
      <c r="J279" s="17" t="s">
        <v>539</v>
      </c>
    </row>
    <row r="280" customFormat="false" ht="15" hidden="false" customHeight="true" outlineLevel="0" collapsed="false">
      <c r="A280" s="17" t="n">
        <v>1200</v>
      </c>
      <c r="B280" s="17" t="s">
        <v>540</v>
      </c>
      <c r="C280" s="17" t="s">
        <v>557</v>
      </c>
      <c r="D280" s="17" t="s">
        <v>973</v>
      </c>
      <c r="E280" s="17" t="s">
        <v>59</v>
      </c>
      <c r="F280" s="17" t="s">
        <v>683</v>
      </c>
      <c r="G280" s="17" t="s">
        <v>330</v>
      </c>
      <c r="H280" s="17" t="s">
        <v>331</v>
      </c>
      <c r="I280" s="17" t="s">
        <v>91</v>
      </c>
      <c r="J280" s="17" t="s">
        <v>539</v>
      </c>
    </row>
    <row r="281" customFormat="false" ht="15" hidden="false" customHeight="true" outlineLevel="0" collapsed="false">
      <c r="A281" s="17" t="n">
        <v>943</v>
      </c>
      <c r="B281" s="17" t="s">
        <v>540</v>
      </c>
      <c r="C281" s="17" t="s">
        <v>561</v>
      </c>
      <c r="D281" s="17" t="s">
        <v>974</v>
      </c>
      <c r="E281" s="17" t="s">
        <v>59</v>
      </c>
      <c r="F281" s="17" t="s">
        <v>686</v>
      </c>
      <c r="G281" s="17" t="s">
        <v>330</v>
      </c>
      <c r="H281" s="17" t="s">
        <v>331</v>
      </c>
      <c r="I281" s="17" t="s">
        <v>91</v>
      </c>
      <c r="J281" s="17" t="s">
        <v>539</v>
      </c>
    </row>
    <row r="282" customFormat="false" ht="15" hidden="false" customHeight="true" outlineLevel="0" collapsed="false">
      <c r="A282" s="17" t="n">
        <v>1225</v>
      </c>
      <c r="B282" s="17" t="s">
        <v>540</v>
      </c>
      <c r="C282" s="17" t="s">
        <v>559</v>
      </c>
      <c r="D282" s="17" t="s">
        <v>975</v>
      </c>
      <c r="E282" s="17" t="s">
        <v>59</v>
      </c>
      <c r="F282" s="17" t="s">
        <v>688</v>
      </c>
      <c r="G282" s="17" t="s">
        <v>330</v>
      </c>
      <c r="H282" s="17" t="s">
        <v>331</v>
      </c>
      <c r="I282" s="17" t="s">
        <v>91</v>
      </c>
      <c r="J282" s="17" t="s">
        <v>539</v>
      </c>
    </row>
    <row r="283" customFormat="false" ht="15" hidden="false" customHeight="true" outlineLevel="0" collapsed="false">
      <c r="A283" s="17" t="n">
        <v>1317</v>
      </c>
      <c r="B283" s="17" t="s">
        <v>540</v>
      </c>
      <c r="C283" s="17" t="s">
        <v>571</v>
      </c>
      <c r="D283" s="17" t="s">
        <v>976</v>
      </c>
      <c r="E283" s="17" t="s">
        <v>59</v>
      </c>
      <c r="F283" s="17" t="s">
        <v>690</v>
      </c>
      <c r="G283" s="17" t="s">
        <v>330</v>
      </c>
      <c r="H283" s="17" t="s">
        <v>331</v>
      </c>
      <c r="I283" s="17" t="s">
        <v>91</v>
      </c>
      <c r="J283" s="17" t="s">
        <v>539</v>
      </c>
    </row>
    <row r="284" customFormat="false" ht="15" hidden="false" customHeight="true" outlineLevel="0" collapsed="false">
      <c r="A284" s="17" t="n">
        <v>956</v>
      </c>
      <c r="B284" s="17" t="s">
        <v>540</v>
      </c>
      <c r="C284" s="17" t="s">
        <v>561</v>
      </c>
      <c r="D284" s="17" t="s">
        <v>977</v>
      </c>
      <c r="E284" s="17" t="s">
        <v>59</v>
      </c>
      <c r="F284" s="17" t="s">
        <v>692</v>
      </c>
      <c r="G284" s="17" t="s">
        <v>330</v>
      </c>
      <c r="H284" s="17" t="s">
        <v>331</v>
      </c>
      <c r="I284" s="17" t="s">
        <v>91</v>
      </c>
      <c r="J284" s="17" t="s">
        <v>539</v>
      </c>
    </row>
    <row r="285" customFormat="false" ht="15" hidden="false" customHeight="true" outlineLevel="0" collapsed="false">
      <c r="A285" s="17" t="n">
        <v>1227</v>
      </c>
      <c r="B285" s="17" t="s">
        <v>540</v>
      </c>
      <c r="C285" s="17" t="s">
        <v>559</v>
      </c>
      <c r="D285" s="17" t="s">
        <v>978</v>
      </c>
      <c r="E285" s="17" t="s">
        <v>59</v>
      </c>
      <c r="F285" s="17" t="s">
        <v>695</v>
      </c>
      <c r="G285" s="17" t="s">
        <v>330</v>
      </c>
      <c r="H285" s="17" t="s">
        <v>331</v>
      </c>
      <c r="I285" s="17" t="s">
        <v>91</v>
      </c>
      <c r="J285" s="17" t="s">
        <v>539</v>
      </c>
    </row>
    <row r="286" customFormat="false" ht="15" hidden="false" customHeight="true" outlineLevel="0" collapsed="false">
      <c r="A286" s="17" t="n">
        <v>1130</v>
      </c>
      <c r="B286" s="17" t="s">
        <v>540</v>
      </c>
      <c r="C286" s="17" t="s">
        <v>653</v>
      </c>
      <c r="D286" s="17" t="s">
        <v>979</v>
      </c>
      <c r="E286" s="17" t="s">
        <v>59</v>
      </c>
      <c r="F286" s="17" t="s">
        <v>832</v>
      </c>
      <c r="G286" s="17" t="s">
        <v>330</v>
      </c>
      <c r="H286" s="17" t="s">
        <v>331</v>
      </c>
      <c r="I286" s="17" t="s">
        <v>91</v>
      </c>
      <c r="J286" s="17" t="s">
        <v>539</v>
      </c>
    </row>
    <row r="287" customFormat="false" ht="15" hidden="false" customHeight="true" outlineLevel="0" collapsed="false">
      <c r="A287" s="17" t="n">
        <v>1110</v>
      </c>
      <c r="B287" s="17" t="s">
        <v>540</v>
      </c>
      <c r="C287" s="17" t="s">
        <v>653</v>
      </c>
      <c r="D287" s="17" t="s">
        <v>980</v>
      </c>
      <c r="E287" s="17" t="s">
        <v>59</v>
      </c>
      <c r="F287" s="17" t="s">
        <v>834</v>
      </c>
      <c r="G287" s="17" t="s">
        <v>330</v>
      </c>
      <c r="H287" s="17" t="s">
        <v>331</v>
      </c>
      <c r="I287" s="17" t="s">
        <v>91</v>
      </c>
      <c r="J287" s="17" t="s">
        <v>539</v>
      </c>
    </row>
    <row r="288" customFormat="false" ht="15" hidden="false" customHeight="true" outlineLevel="0" collapsed="false">
      <c r="A288" s="17" t="n">
        <v>1314</v>
      </c>
      <c r="B288" s="17" t="s">
        <v>540</v>
      </c>
      <c r="C288" s="17" t="s">
        <v>571</v>
      </c>
      <c r="D288" s="17" t="s">
        <v>981</v>
      </c>
      <c r="E288" s="17" t="s">
        <v>59</v>
      </c>
      <c r="F288" s="17" t="s">
        <v>836</v>
      </c>
      <c r="G288" s="17" t="s">
        <v>330</v>
      </c>
      <c r="H288" s="17" t="s">
        <v>331</v>
      </c>
      <c r="I288" s="17" t="s">
        <v>91</v>
      </c>
      <c r="J288" s="17" t="s">
        <v>539</v>
      </c>
    </row>
    <row r="289" customFormat="false" ht="15" hidden="false" customHeight="true" outlineLevel="0" collapsed="false">
      <c r="A289" s="17" t="n">
        <v>944</v>
      </c>
      <c r="B289" s="17" t="s">
        <v>540</v>
      </c>
      <c r="C289" s="17" t="s">
        <v>561</v>
      </c>
      <c r="D289" s="17" t="s">
        <v>982</v>
      </c>
      <c r="E289" s="17" t="s">
        <v>59</v>
      </c>
      <c r="F289" s="17" t="s">
        <v>838</v>
      </c>
      <c r="G289" s="17" t="s">
        <v>330</v>
      </c>
      <c r="H289" s="17" t="s">
        <v>331</v>
      </c>
      <c r="I289" s="17" t="s">
        <v>91</v>
      </c>
      <c r="J289" s="17" t="s">
        <v>539</v>
      </c>
    </row>
    <row r="290" customFormat="false" ht="15" hidden="false" customHeight="true" outlineLevel="0" collapsed="false">
      <c r="A290" s="17" t="n">
        <v>1221</v>
      </c>
      <c r="B290" s="17" t="s">
        <v>540</v>
      </c>
      <c r="C290" s="17" t="s">
        <v>559</v>
      </c>
      <c r="D290" s="17" t="s">
        <v>983</v>
      </c>
      <c r="E290" s="17" t="s">
        <v>59</v>
      </c>
      <c r="F290" s="17" t="s">
        <v>840</v>
      </c>
      <c r="G290" s="17" t="s">
        <v>330</v>
      </c>
      <c r="H290" s="17" t="s">
        <v>331</v>
      </c>
      <c r="I290" s="17" t="s">
        <v>91</v>
      </c>
      <c r="J290" s="17" t="s">
        <v>539</v>
      </c>
    </row>
    <row r="291" customFormat="false" ht="15" hidden="false" customHeight="true" outlineLevel="0" collapsed="false">
      <c r="A291" s="17" t="n">
        <v>1278</v>
      </c>
      <c r="B291" s="17" t="s">
        <v>540</v>
      </c>
      <c r="C291" s="17" t="s">
        <v>575</v>
      </c>
      <c r="D291" s="17" t="s">
        <v>984</v>
      </c>
      <c r="E291" s="17" t="s">
        <v>59</v>
      </c>
      <c r="F291" s="17" t="s">
        <v>348</v>
      </c>
      <c r="G291" s="17" t="s">
        <v>344</v>
      </c>
      <c r="H291" s="17" t="s">
        <v>331</v>
      </c>
      <c r="I291" s="17" t="s">
        <v>91</v>
      </c>
      <c r="J291" s="17" t="s">
        <v>539</v>
      </c>
    </row>
    <row r="292" customFormat="false" ht="15" hidden="false" customHeight="true" outlineLevel="0" collapsed="false">
      <c r="A292" s="17" t="n">
        <v>721</v>
      </c>
      <c r="B292" s="17" t="s">
        <v>540</v>
      </c>
      <c r="C292" s="17" t="s">
        <v>543</v>
      </c>
      <c r="D292" s="17" t="s">
        <v>985</v>
      </c>
      <c r="E292" s="17" t="s">
        <v>59</v>
      </c>
      <c r="F292" s="17" t="s">
        <v>986</v>
      </c>
      <c r="G292" s="17" t="s">
        <v>545</v>
      </c>
      <c r="H292" s="17" t="s">
        <v>331</v>
      </c>
      <c r="I292" s="17" t="s">
        <v>91</v>
      </c>
      <c r="J292" s="17" t="s">
        <v>539</v>
      </c>
    </row>
    <row r="293" customFormat="false" ht="15" hidden="false" customHeight="true" outlineLevel="0" collapsed="false">
      <c r="A293" s="17" t="n">
        <v>775</v>
      </c>
      <c r="B293" s="17" t="s">
        <v>540</v>
      </c>
      <c r="C293" s="17" t="s">
        <v>660</v>
      </c>
      <c r="D293" s="17" t="s">
        <v>987</v>
      </c>
      <c r="E293" s="17" t="s">
        <v>59</v>
      </c>
      <c r="F293" s="17" t="s">
        <v>349</v>
      </c>
      <c r="G293" s="17" t="s">
        <v>330</v>
      </c>
      <c r="H293" s="17" t="s">
        <v>331</v>
      </c>
      <c r="I293" s="17" t="s">
        <v>91</v>
      </c>
      <c r="J293" s="17" t="s">
        <v>539</v>
      </c>
    </row>
    <row r="294" customFormat="false" ht="15" hidden="false" customHeight="true" outlineLevel="0" collapsed="false">
      <c r="A294" s="17" t="n">
        <v>1066</v>
      </c>
      <c r="B294" s="17" t="s">
        <v>540</v>
      </c>
      <c r="C294" s="17" t="s">
        <v>546</v>
      </c>
      <c r="D294" s="17" t="s">
        <v>988</v>
      </c>
      <c r="E294" s="17" t="s">
        <v>59</v>
      </c>
      <c r="F294" s="17" t="s">
        <v>349</v>
      </c>
      <c r="G294" s="17" t="s">
        <v>330</v>
      </c>
      <c r="H294" s="17" t="s">
        <v>331</v>
      </c>
      <c r="I294" s="17" t="s">
        <v>91</v>
      </c>
      <c r="J294" s="17" t="s">
        <v>539</v>
      </c>
    </row>
    <row r="295" customFormat="false" ht="15" hidden="false" customHeight="true" outlineLevel="0" collapsed="false">
      <c r="A295" s="17" t="n">
        <v>1305</v>
      </c>
      <c r="B295" s="17" t="s">
        <v>540</v>
      </c>
      <c r="C295" s="17" t="s">
        <v>571</v>
      </c>
      <c r="D295" s="17" t="s">
        <v>989</v>
      </c>
      <c r="E295" s="17" t="s">
        <v>59</v>
      </c>
      <c r="F295" s="17" t="s">
        <v>389</v>
      </c>
      <c r="G295" s="17" t="s">
        <v>330</v>
      </c>
      <c r="H295" s="17" t="s">
        <v>331</v>
      </c>
      <c r="I295" s="17" t="s">
        <v>91</v>
      </c>
      <c r="J295" s="17" t="s">
        <v>539</v>
      </c>
    </row>
    <row r="296" customFormat="false" ht="15" hidden="false" customHeight="true" outlineLevel="0" collapsed="false">
      <c r="A296" s="17" t="n">
        <v>1260</v>
      </c>
      <c r="B296" s="17" t="s">
        <v>540</v>
      </c>
      <c r="C296" s="17" t="s">
        <v>575</v>
      </c>
      <c r="D296" s="17" t="s">
        <v>990</v>
      </c>
      <c r="E296" s="17" t="s">
        <v>59</v>
      </c>
      <c r="F296" s="17" t="s">
        <v>350</v>
      </c>
      <c r="G296" s="17" t="s">
        <v>344</v>
      </c>
      <c r="H296" s="17" t="s">
        <v>331</v>
      </c>
      <c r="I296" s="17" t="s">
        <v>91</v>
      </c>
      <c r="J296" s="17" t="s">
        <v>539</v>
      </c>
    </row>
    <row r="297" customFormat="false" ht="15" hidden="false" customHeight="true" outlineLevel="0" collapsed="false">
      <c r="A297" s="17" t="n">
        <v>700</v>
      </c>
      <c r="B297" s="17" t="s">
        <v>540</v>
      </c>
      <c r="C297" s="17" t="s">
        <v>543</v>
      </c>
      <c r="D297" s="17" t="s">
        <v>991</v>
      </c>
      <c r="E297" s="17" t="s">
        <v>59</v>
      </c>
      <c r="F297" s="17" t="s">
        <v>351</v>
      </c>
      <c r="G297" s="17" t="s">
        <v>545</v>
      </c>
      <c r="H297" s="17" t="s">
        <v>331</v>
      </c>
      <c r="I297" s="17" t="s">
        <v>91</v>
      </c>
      <c r="J297" s="17" t="s">
        <v>539</v>
      </c>
    </row>
    <row r="298" customFormat="false" ht="15" hidden="false" customHeight="true" outlineLevel="0" collapsed="false">
      <c r="A298" s="17" t="n">
        <v>1312</v>
      </c>
      <c r="B298" s="17" t="s">
        <v>540</v>
      </c>
      <c r="C298" s="17" t="s">
        <v>571</v>
      </c>
      <c r="D298" s="17" t="s">
        <v>992</v>
      </c>
      <c r="E298" s="17" t="s">
        <v>59</v>
      </c>
      <c r="F298" s="17" t="s">
        <v>993</v>
      </c>
      <c r="G298" s="17" t="s">
        <v>330</v>
      </c>
      <c r="H298" s="17" t="s">
        <v>331</v>
      </c>
      <c r="I298" s="17" t="s">
        <v>91</v>
      </c>
      <c r="J298" s="17" t="s">
        <v>539</v>
      </c>
    </row>
    <row r="299" customFormat="false" ht="15" hidden="false" customHeight="true" outlineLevel="0" collapsed="false">
      <c r="A299" s="17" t="n">
        <v>774</v>
      </c>
      <c r="B299" s="17" t="s">
        <v>540</v>
      </c>
      <c r="C299" s="17" t="s">
        <v>660</v>
      </c>
      <c r="D299" s="17" t="s">
        <v>994</v>
      </c>
      <c r="E299" s="17" t="s">
        <v>59</v>
      </c>
      <c r="F299" s="17" t="s">
        <v>995</v>
      </c>
      <c r="G299" s="17" t="s">
        <v>330</v>
      </c>
      <c r="H299" s="17" t="s">
        <v>331</v>
      </c>
      <c r="I299" s="17" t="s">
        <v>91</v>
      </c>
      <c r="J299" s="17" t="s">
        <v>539</v>
      </c>
    </row>
    <row r="300" customFormat="false" ht="15" hidden="false" customHeight="true" outlineLevel="0" collapsed="false">
      <c r="A300" s="17" t="n">
        <v>1053</v>
      </c>
      <c r="B300" s="17" t="s">
        <v>540</v>
      </c>
      <c r="C300" s="17" t="s">
        <v>546</v>
      </c>
      <c r="D300" s="17" t="s">
        <v>996</v>
      </c>
      <c r="E300" s="17" t="s">
        <v>59</v>
      </c>
      <c r="F300" s="17" t="s">
        <v>995</v>
      </c>
      <c r="G300" s="17" t="s">
        <v>330</v>
      </c>
      <c r="H300" s="17" t="s">
        <v>331</v>
      </c>
      <c r="I300" s="17" t="s">
        <v>91</v>
      </c>
      <c r="J300" s="17" t="s">
        <v>539</v>
      </c>
    </row>
    <row r="301" customFormat="false" ht="15" hidden="false" customHeight="true" outlineLevel="0" collapsed="false">
      <c r="A301" s="17" t="n">
        <v>711</v>
      </c>
      <c r="B301" s="17" t="s">
        <v>540</v>
      </c>
      <c r="C301" s="17" t="s">
        <v>543</v>
      </c>
      <c r="D301" s="17" t="s">
        <v>997</v>
      </c>
      <c r="E301" s="17" t="s">
        <v>59</v>
      </c>
      <c r="F301" s="17" t="s">
        <v>352</v>
      </c>
      <c r="G301" s="17" t="s">
        <v>545</v>
      </c>
      <c r="H301" s="17" t="s">
        <v>331</v>
      </c>
      <c r="I301" s="17" t="s">
        <v>91</v>
      </c>
      <c r="J301" s="17" t="s">
        <v>539</v>
      </c>
    </row>
    <row r="302" customFormat="false" ht="15" hidden="false" customHeight="true" outlineLevel="0" collapsed="false">
      <c r="A302" s="17" t="n">
        <v>1258</v>
      </c>
      <c r="B302" s="17" t="s">
        <v>540</v>
      </c>
      <c r="C302" s="17" t="s">
        <v>575</v>
      </c>
      <c r="D302" s="17" t="s">
        <v>998</v>
      </c>
      <c r="E302" s="17" t="s">
        <v>59</v>
      </c>
      <c r="F302" s="17" t="s">
        <v>353</v>
      </c>
      <c r="G302" s="17" t="s">
        <v>330</v>
      </c>
      <c r="H302" s="17" t="s">
        <v>331</v>
      </c>
      <c r="I302" s="17" t="s">
        <v>91</v>
      </c>
      <c r="J302" s="17" t="s">
        <v>539</v>
      </c>
    </row>
    <row r="303" customFormat="false" ht="15" hidden="false" customHeight="true" outlineLevel="0" collapsed="false">
      <c r="A303" s="17" t="n">
        <v>1316</v>
      </c>
      <c r="B303" s="17" t="s">
        <v>540</v>
      </c>
      <c r="C303" s="17" t="s">
        <v>571</v>
      </c>
      <c r="D303" s="17" t="s">
        <v>999</v>
      </c>
      <c r="E303" s="17" t="s">
        <v>59</v>
      </c>
      <c r="F303" s="17" t="s">
        <v>1000</v>
      </c>
      <c r="G303" s="17" t="s">
        <v>330</v>
      </c>
      <c r="H303" s="17" t="s">
        <v>331</v>
      </c>
      <c r="I303" s="17" t="s">
        <v>91</v>
      </c>
      <c r="J303" s="17" t="s">
        <v>539</v>
      </c>
    </row>
    <row r="304" customFormat="false" ht="15" hidden="false" customHeight="true" outlineLevel="0" collapsed="false">
      <c r="A304" s="17" t="n">
        <v>1340</v>
      </c>
      <c r="B304" s="17" t="s">
        <v>540</v>
      </c>
      <c r="C304" s="17" t="s">
        <v>571</v>
      </c>
      <c r="D304" s="17" t="s">
        <v>1001</v>
      </c>
      <c r="E304" s="17" t="s">
        <v>59</v>
      </c>
      <c r="F304" s="17" t="s">
        <v>1002</v>
      </c>
      <c r="G304" s="17" t="s">
        <v>330</v>
      </c>
      <c r="H304" s="17" t="s">
        <v>331</v>
      </c>
      <c r="I304" s="17" t="s">
        <v>91</v>
      </c>
      <c r="J304" s="17" t="s">
        <v>539</v>
      </c>
    </row>
    <row r="305" customFormat="false" ht="15" hidden="false" customHeight="true" outlineLevel="0" collapsed="false">
      <c r="A305" s="17" t="n">
        <v>1129</v>
      </c>
      <c r="B305" s="17" t="s">
        <v>540</v>
      </c>
      <c r="C305" s="17" t="s">
        <v>653</v>
      </c>
      <c r="D305" s="17" t="s">
        <v>1003</v>
      </c>
      <c r="E305" s="17" t="s">
        <v>59</v>
      </c>
      <c r="F305" s="17" t="s">
        <v>1004</v>
      </c>
      <c r="G305" s="17" t="s">
        <v>330</v>
      </c>
      <c r="H305" s="17" t="s">
        <v>331</v>
      </c>
      <c r="I305" s="17" t="s">
        <v>91</v>
      </c>
      <c r="J305" s="17" t="s">
        <v>539</v>
      </c>
    </row>
    <row r="306" customFormat="false" ht="15" hidden="false" customHeight="true" outlineLevel="0" collapsed="false">
      <c r="A306" s="17" t="n">
        <v>1254</v>
      </c>
      <c r="B306" s="17" t="s">
        <v>540</v>
      </c>
      <c r="C306" s="17" t="s">
        <v>559</v>
      </c>
      <c r="D306" s="17" t="s">
        <v>1005</v>
      </c>
      <c r="E306" s="17" t="s">
        <v>59</v>
      </c>
      <c r="F306" s="17" t="s">
        <v>356</v>
      </c>
      <c r="G306" s="17" t="s">
        <v>330</v>
      </c>
      <c r="H306" s="17" t="s">
        <v>331</v>
      </c>
      <c r="I306" s="17" t="s">
        <v>91</v>
      </c>
      <c r="J306" s="17" t="s">
        <v>539</v>
      </c>
    </row>
    <row r="307" customFormat="false" ht="15" hidden="false" customHeight="true" outlineLevel="0" collapsed="false">
      <c r="A307" s="17" t="n">
        <v>998</v>
      </c>
      <c r="B307" s="17" t="s">
        <v>540</v>
      </c>
      <c r="C307" s="17" t="s">
        <v>561</v>
      </c>
      <c r="D307" s="17" t="s">
        <v>1006</v>
      </c>
      <c r="E307" s="17" t="s">
        <v>59</v>
      </c>
      <c r="F307" s="17" t="s">
        <v>145</v>
      </c>
      <c r="G307" s="17" t="s">
        <v>330</v>
      </c>
      <c r="H307" s="17" t="s">
        <v>331</v>
      </c>
      <c r="I307" s="17" t="s">
        <v>91</v>
      </c>
      <c r="J307" s="17" t="s">
        <v>539</v>
      </c>
    </row>
    <row r="308" customFormat="false" ht="15" hidden="false" customHeight="true" outlineLevel="0" collapsed="false">
      <c r="A308" s="17" t="n">
        <v>1311</v>
      </c>
      <c r="B308" s="17" t="s">
        <v>540</v>
      </c>
      <c r="C308" s="17" t="s">
        <v>571</v>
      </c>
      <c r="D308" s="17" t="s">
        <v>1007</v>
      </c>
      <c r="E308" s="17" t="s">
        <v>59</v>
      </c>
      <c r="F308" s="17" t="s">
        <v>108</v>
      </c>
      <c r="G308" s="17" t="s">
        <v>330</v>
      </c>
      <c r="H308" s="17" t="s">
        <v>331</v>
      </c>
      <c r="I308" s="17" t="s">
        <v>91</v>
      </c>
      <c r="J308" s="17" t="s">
        <v>539</v>
      </c>
    </row>
    <row r="309" customFormat="false" ht="15" hidden="false" customHeight="true" outlineLevel="0" collapsed="false">
      <c r="A309" s="17" t="n">
        <v>1234</v>
      </c>
      <c r="B309" s="17" t="s">
        <v>540</v>
      </c>
      <c r="C309" s="17" t="s">
        <v>559</v>
      </c>
      <c r="D309" s="17" t="s">
        <v>1008</v>
      </c>
      <c r="E309" s="17" t="s">
        <v>59</v>
      </c>
      <c r="F309" s="17" t="s">
        <v>392</v>
      </c>
      <c r="G309" s="17" t="s">
        <v>330</v>
      </c>
      <c r="H309" s="17" t="s">
        <v>331</v>
      </c>
      <c r="I309" s="17" t="s">
        <v>91</v>
      </c>
      <c r="J309" s="17" t="s">
        <v>539</v>
      </c>
    </row>
    <row r="310" customFormat="false" ht="15" hidden="false" customHeight="true" outlineLevel="0" collapsed="false">
      <c r="A310" s="17" t="n">
        <v>942</v>
      </c>
      <c r="B310" s="17" t="s">
        <v>540</v>
      </c>
      <c r="C310" s="17" t="s">
        <v>561</v>
      </c>
      <c r="D310" s="17" t="s">
        <v>1009</v>
      </c>
      <c r="E310" s="17" t="s">
        <v>59</v>
      </c>
      <c r="F310" s="17" t="s">
        <v>111</v>
      </c>
      <c r="G310" s="17" t="s">
        <v>330</v>
      </c>
      <c r="H310" s="17" t="s">
        <v>331</v>
      </c>
      <c r="I310" s="17" t="s">
        <v>91</v>
      </c>
      <c r="J310" s="17" t="s">
        <v>539</v>
      </c>
    </row>
    <row r="311" customFormat="false" ht="15" hidden="false" customHeight="true" outlineLevel="0" collapsed="false">
      <c r="A311" s="17" t="n">
        <v>1304</v>
      </c>
      <c r="B311" s="17" t="s">
        <v>540</v>
      </c>
      <c r="C311" s="17" t="s">
        <v>571</v>
      </c>
      <c r="D311" s="17" t="s">
        <v>1010</v>
      </c>
      <c r="E311" s="17" t="s">
        <v>59</v>
      </c>
      <c r="F311" s="17" t="s">
        <v>1011</v>
      </c>
      <c r="G311" s="17" t="s">
        <v>330</v>
      </c>
      <c r="H311" s="17" t="s">
        <v>331</v>
      </c>
      <c r="I311" s="17" t="s">
        <v>91</v>
      </c>
      <c r="J311" s="17" t="s">
        <v>539</v>
      </c>
    </row>
    <row r="312" customFormat="false" ht="15" hidden="false" customHeight="true" outlineLevel="0" collapsed="false">
      <c r="A312" s="17" t="n">
        <v>1226</v>
      </c>
      <c r="B312" s="17" t="s">
        <v>540</v>
      </c>
      <c r="C312" s="17" t="s">
        <v>559</v>
      </c>
      <c r="D312" s="17" t="s">
        <v>1012</v>
      </c>
      <c r="E312" s="17" t="s">
        <v>59</v>
      </c>
      <c r="F312" s="17" t="s">
        <v>113</v>
      </c>
      <c r="G312" s="17" t="s">
        <v>330</v>
      </c>
      <c r="H312" s="17" t="s">
        <v>331</v>
      </c>
      <c r="I312" s="17" t="s">
        <v>91</v>
      </c>
      <c r="J312" s="17" t="s">
        <v>539</v>
      </c>
    </row>
    <row r="313" customFormat="false" ht="15" hidden="false" customHeight="true" outlineLevel="0" collapsed="false">
      <c r="A313" s="17" t="n">
        <v>947</v>
      </c>
      <c r="B313" s="17" t="s">
        <v>540</v>
      </c>
      <c r="C313" s="17" t="s">
        <v>561</v>
      </c>
      <c r="D313" s="17" t="s">
        <v>1013</v>
      </c>
      <c r="E313" s="17" t="s">
        <v>59</v>
      </c>
      <c r="F313" s="17" t="s">
        <v>1014</v>
      </c>
      <c r="G313" s="17" t="s">
        <v>330</v>
      </c>
      <c r="H313" s="17" t="s">
        <v>331</v>
      </c>
      <c r="I313" s="17" t="s">
        <v>91</v>
      </c>
      <c r="J313" s="17" t="s">
        <v>539</v>
      </c>
    </row>
    <row r="314" customFormat="false" ht="15" hidden="false" customHeight="true" outlineLevel="0" collapsed="false">
      <c r="A314" s="17" t="n">
        <v>1309</v>
      </c>
      <c r="B314" s="17" t="s">
        <v>540</v>
      </c>
      <c r="C314" s="17" t="s">
        <v>571</v>
      </c>
      <c r="D314" s="17" t="s">
        <v>1015</v>
      </c>
      <c r="E314" s="17" t="s">
        <v>59</v>
      </c>
      <c r="F314" s="17" t="s">
        <v>393</v>
      </c>
      <c r="G314" s="17" t="s">
        <v>330</v>
      </c>
      <c r="H314" s="17" t="s">
        <v>331</v>
      </c>
      <c r="I314" s="17" t="s">
        <v>91</v>
      </c>
      <c r="J314" s="17" t="s">
        <v>539</v>
      </c>
    </row>
    <row r="315" customFormat="false" ht="15" hidden="false" customHeight="true" outlineLevel="0" collapsed="false">
      <c r="A315" s="17" t="n">
        <v>1228</v>
      </c>
      <c r="B315" s="17" t="s">
        <v>540</v>
      </c>
      <c r="C315" s="17" t="s">
        <v>559</v>
      </c>
      <c r="D315" s="17" t="s">
        <v>1016</v>
      </c>
      <c r="E315" s="17" t="s">
        <v>59</v>
      </c>
      <c r="F315" s="17" t="s">
        <v>1017</v>
      </c>
      <c r="G315" s="17" t="s">
        <v>330</v>
      </c>
      <c r="H315" s="17" t="s">
        <v>331</v>
      </c>
      <c r="I315" s="17" t="s">
        <v>91</v>
      </c>
      <c r="J315" s="17" t="s">
        <v>539</v>
      </c>
    </row>
    <row r="316" customFormat="false" ht="15" hidden="false" customHeight="true" outlineLevel="0" collapsed="false">
      <c r="A316" s="17" t="n">
        <v>949</v>
      </c>
      <c r="B316" s="17" t="s">
        <v>540</v>
      </c>
      <c r="C316" s="17" t="s">
        <v>561</v>
      </c>
      <c r="D316" s="17" t="s">
        <v>1018</v>
      </c>
      <c r="E316" s="17" t="s">
        <v>59</v>
      </c>
      <c r="F316" s="17" t="s">
        <v>394</v>
      </c>
      <c r="G316" s="17" t="s">
        <v>330</v>
      </c>
      <c r="H316" s="17" t="s">
        <v>331</v>
      </c>
      <c r="I316" s="17" t="s">
        <v>91</v>
      </c>
      <c r="J316" s="17" t="s">
        <v>539</v>
      </c>
    </row>
    <row r="317" customFormat="false" ht="15" hidden="false" customHeight="true" outlineLevel="0" collapsed="false">
      <c r="A317" s="17" t="n">
        <v>953</v>
      </c>
      <c r="B317" s="17" t="s">
        <v>540</v>
      </c>
      <c r="C317" s="17" t="s">
        <v>561</v>
      </c>
      <c r="D317" s="17" t="s">
        <v>1019</v>
      </c>
      <c r="E317" s="17" t="s">
        <v>59</v>
      </c>
      <c r="F317" s="17" t="s">
        <v>1020</v>
      </c>
      <c r="G317" s="17" t="s">
        <v>330</v>
      </c>
      <c r="H317" s="17" t="s">
        <v>331</v>
      </c>
      <c r="I317" s="17" t="s">
        <v>91</v>
      </c>
      <c r="J317" s="17" t="s">
        <v>539</v>
      </c>
    </row>
    <row r="318" customFormat="false" ht="15" hidden="false" customHeight="true" outlineLevel="0" collapsed="false">
      <c r="A318" s="17" t="n">
        <v>1220</v>
      </c>
      <c r="B318" s="17" t="s">
        <v>540</v>
      </c>
      <c r="C318" s="17" t="s">
        <v>559</v>
      </c>
      <c r="D318" s="17" t="s">
        <v>1021</v>
      </c>
      <c r="E318" s="17" t="s">
        <v>59</v>
      </c>
      <c r="F318" s="17" t="s">
        <v>395</v>
      </c>
      <c r="G318" s="17" t="s">
        <v>330</v>
      </c>
      <c r="H318" s="17" t="s">
        <v>331</v>
      </c>
      <c r="I318" s="17" t="s">
        <v>91</v>
      </c>
      <c r="J318" s="17" t="s">
        <v>539</v>
      </c>
    </row>
    <row r="319" customFormat="false" ht="15" hidden="false" customHeight="true" outlineLevel="0" collapsed="false">
      <c r="A319" s="17" t="n">
        <v>955</v>
      </c>
      <c r="B319" s="17" t="s">
        <v>540</v>
      </c>
      <c r="C319" s="17" t="s">
        <v>561</v>
      </c>
      <c r="D319" s="17" t="s">
        <v>1022</v>
      </c>
      <c r="E319" s="17" t="s">
        <v>59</v>
      </c>
      <c r="F319" s="17" t="s">
        <v>1023</v>
      </c>
      <c r="G319" s="17" t="s">
        <v>330</v>
      </c>
      <c r="H319" s="17" t="s">
        <v>331</v>
      </c>
      <c r="I319" s="17" t="s">
        <v>91</v>
      </c>
      <c r="J319" s="17" t="s">
        <v>539</v>
      </c>
    </row>
    <row r="320" customFormat="false" ht="15" hidden="false" customHeight="true" outlineLevel="0" collapsed="false">
      <c r="A320" s="17" t="n">
        <v>1219</v>
      </c>
      <c r="B320" s="17" t="s">
        <v>540</v>
      </c>
      <c r="C320" s="17" t="s">
        <v>559</v>
      </c>
      <c r="D320" s="17" t="s">
        <v>1024</v>
      </c>
      <c r="E320" s="17" t="s">
        <v>59</v>
      </c>
      <c r="F320" s="17" t="s">
        <v>1025</v>
      </c>
      <c r="G320" s="17" t="s">
        <v>330</v>
      </c>
      <c r="H320" s="17" t="s">
        <v>331</v>
      </c>
      <c r="I320" s="17" t="s">
        <v>91</v>
      </c>
      <c r="J320" s="17" t="s">
        <v>539</v>
      </c>
    </row>
    <row r="321" customFormat="false" ht="15" hidden="false" customHeight="true" outlineLevel="0" collapsed="false">
      <c r="A321" s="17" t="n">
        <v>954</v>
      </c>
      <c r="B321" s="17" t="s">
        <v>540</v>
      </c>
      <c r="C321" s="17" t="s">
        <v>561</v>
      </c>
      <c r="D321" s="17" t="s">
        <v>1026</v>
      </c>
      <c r="E321" s="17" t="s">
        <v>59</v>
      </c>
      <c r="F321" s="17" t="s">
        <v>396</v>
      </c>
      <c r="G321" s="17" t="s">
        <v>330</v>
      </c>
      <c r="H321" s="17" t="s">
        <v>331</v>
      </c>
      <c r="I321" s="17" t="s">
        <v>91</v>
      </c>
      <c r="J321" s="17" t="s">
        <v>539</v>
      </c>
    </row>
    <row r="322" customFormat="false" ht="15" hidden="false" customHeight="true" outlineLevel="0" collapsed="false">
      <c r="A322" s="17" t="n">
        <v>1230</v>
      </c>
      <c r="B322" s="17" t="s">
        <v>540</v>
      </c>
      <c r="C322" s="17" t="s">
        <v>559</v>
      </c>
      <c r="D322" s="17" t="s">
        <v>1027</v>
      </c>
      <c r="E322" s="17" t="s">
        <v>59</v>
      </c>
      <c r="F322" s="17" t="s">
        <v>116</v>
      </c>
      <c r="G322" s="17" t="s">
        <v>330</v>
      </c>
      <c r="H322" s="17" t="s">
        <v>331</v>
      </c>
      <c r="I322" s="17" t="s">
        <v>91</v>
      </c>
      <c r="J322" s="17" t="s">
        <v>539</v>
      </c>
    </row>
    <row r="323" customFormat="false" ht="15" hidden="false" customHeight="true" outlineLevel="0" collapsed="false">
      <c r="A323" s="17" t="n">
        <v>945</v>
      </c>
      <c r="B323" s="17" t="s">
        <v>540</v>
      </c>
      <c r="C323" s="17" t="s">
        <v>561</v>
      </c>
      <c r="D323" s="17" t="s">
        <v>1028</v>
      </c>
      <c r="E323" s="17" t="s">
        <v>59</v>
      </c>
      <c r="F323" s="17" t="s">
        <v>1029</v>
      </c>
      <c r="G323" s="17" t="s">
        <v>330</v>
      </c>
      <c r="H323" s="17" t="s">
        <v>331</v>
      </c>
      <c r="I323" s="17" t="s">
        <v>91</v>
      </c>
      <c r="J323" s="17" t="s">
        <v>539</v>
      </c>
    </row>
    <row r="324" customFormat="false" ht="15" hidden="false" customHeight="true" outlineLevel="0" collapsed="false">
      <c r="A324" s="17" t="n">
        <v>1231</v>
      </c>
      <c r="B324" s="17" t="s">
        <v>540</v>
      </c>
      <c r="C324" s="17" t="s">
        <v>559</v>
      </c>
      <c r="D324" s="17" t="s">
        <v>1030</v>
      </c>
      <c r="E324" s="17" t="s">
        <v>59</v>
      </c>
      <c r="F324" s="17" t="s">
        <v>397</v>
      </c>
      <c r="G324" s="17" t="s">
        <v>330</v>
      </c>
      <c r="H324" s="17" t="s">
        <v>331</v>
      </c>
      <c r="I324" s="17" t="s">
        <v>91</v>
      </c>
      <c r="J324" s="17" t="s">
        <v>539</v>
      </c>
    </row>
    <row r="325" customFormat="false" ht="15" hidden="false" customHeight="true" outlineLevel="0" collapsed="false">
      <c r="A325" s="17" t="n">
        <v>950</v>
      </c>
      <c r="B325" s="17" t="s">
        <v>540</v>
      </c>
      <c r="C325" s="17" t="s">
        <v>561</v>
      </c>
      <c r="D325" s="17" t="s">
        <v>1031</v>
      </c>
      <c r="E325" s="17" t="s">
        <v>59</v>
      </c>
      <c r="F325" s="17" t="s">
        <v>1032</v>
      </c>
      <c r="G325" s="17" t="s">
        <v>330</v>
      </c>
      <c r="H325" s="17" t="s">
        <v>331</v>
      </c>
      <c r="I325" s="17" t="s">
        <v>91</v>
      </c>
      <c r="J325" s="17" t="s">
        <v>539</v>
      </c>
    </row>
    <row r="326" customFormat="false" ht="15" hidden="false" customHeight="true" outlineLevel="0" collapsed="false">
      <c r="A326" s="17" t="n">
        <v>1233</v>
      </c>
      <c r="B326" s="17" t="s">
        <v>540</v>
      </c>
      <c r="C326" s="17" t="s">
        <v>559</v>
      </c>
      <c r="D326" s="17" t="s">
        <v>1033</v>
      </c>
      <c r="E326" s="17" t="s">
        <v>59</v>
      </c>
      <c r="F326" s="17" t="s">
        <v>398</v>
      </c>
      <c r="G326" s="17" t="s">
        <v>330</v>
      </c>
      <c r="H326" s="17" t="s">
        <v>331</v>
      </c>
      <c r="I326" s="17" t="s">
        <v>91</v>
      </c>
      <c r="J326" s="17" t="s">
        <v>539</v>
      </c>
    </row>
    <row r="327" customFormat="false" ht="15" hidden="false" customHeight="true" outlineLevel="0" collapsed="false">
      <c r="A327" s="17" t="n">
        <v>951</v>
      </c>
      <c r="B327" s="17" t="s">
        <v>540</v>
      </c>
      <c r="C327" s="17" t="s">
        <v>561</v>
      </c>
      <c r="D327" s="17" t="s">
        <v>1034</v>
      </c>
      <c r="E327" s="17" t="s">
        <v>59</v>
      </c>
      <c r="F327" s="17" t="s">
        <v>399</v>
      </c>
      <c r="G327" s="17" t="s">
        <v>330</v>
      </c>
      <c r="H327" s="17" t="s">
        <v>331</v>
      </c>
      <c r="I327" s="17" t="s">
        <v>91</v>
      </c>
      <c r="J327" s="17" t="s">
        <v>539</v>
      </c>
    </row>
    <row r="328" customFormat="false" ht="15" hidden="false" customHeight="true" outlineLevel="0" collapsed="false">
      <c r="A328" s="17" t="n">
        <v>1315</v>
      </c>
      <c r="B328" s="17" t="s">
        <v>540</v>
      </c>
      <c r="C328" s="17" t="s">
        <v>571</v>
      </c>
      <c r="D328" s="17" t="s">
        <v>1035</v>
      </c>
      <c r="E328" s="17" t="s">
        <v>59</v>
      </c>
      <c r="F328" s="17" t="s">
        <v>702</v>
      </c>
      <c r="G328" s="17" t="s">
        <v>330</v>
      </c>
      <c r="H328" s="17" t="s">
        <v>331</v>
      </c>
      <c r="I328" s="17" t="s">
        <v>91</v>
      </c>
      <c r="J328" s="17" t="s">
        <v>539</v>
      </c>
    </row>
    <row r="329" customFormat="false" ht="15" hidden="false" customHeight="true" outlineLevel="0" collapsed="false">
      <c r="A329" s="17" t="n">
        <v>1190</v>
      </c>
      <c r="B329" s="17" t="s">
        <v>540</v>
      </c>
      <c r="C329" s="17" t="s">
        <v>808</v>
      </c>
      <c r="D329" s="17" t="s">
        <v>1036</v>
      </c>
      <c r="E329" s="17" t="s">
        <v>59</v>
      </c>
      <c r="F329" s="17" t="s">
        <v>847</v>
      </c>
      <c r="G329" s="17" t="s">
        <v>330</v>
      </c>
      <c r="H329" s="17" t="s">
        <v>331</v>
      </c>
      <c r="I329" s="17" t="s">
        <v>91</v>
      </c>
      <c r="J329" s="17" t="s">
        <v>539</v>
      </c>
    </row>
    <row r="330" customFormat="false" ht="15" hidden="false" customHeight="true" outlineLevel="0" collapsed="false">
      <c r="A330" s="17" t="n">
        <v>1232</v>
      </c>
      <c r="B330" s="17" t="s">
        <v>540</v>
      </c>
      <c r="C330" s="17" t="s">
        <v>559</v>
      </c>
      <c r="D330" s="17" t="s">
        <v>1037</v>
      </c>
      <c r="E330" s="17" t="s">
        <v>59</v>
      </c>
      <c r="F330" s="17" t="s">
        <v>147</v>
      </c>
      <c r="G330" s="17" t="s">
        <v>330</v>
      </c>
      <c r="H330" s="17" t="s">
        <v>331</v>
      </c>
      <c r="I330" s="17" t="s">
        <v>91</v>
      </c>
      <c r="J330" s="17" t="s">
        <v>539</v>
      </c>
    </row>
    <row r="331" customFormat="false" ht="15" hidden="false" customHeight="true" outlineLevel="0" collapsed="false">
      <c r="A331" s="17" t="n">
        <v>1313</v>
      </c>
      <c r="B331" s="17" t="s">
        <v>540</v>
      </c>
      <c r="C331" s="17" t="s">
        <v>571</v>
      </c>
      <c r="D331" s="17" t="s">
        <v>1038</v>
      </c>
      <c r="E331" s="17" t="s">
        <v>59</v>
      </c>
      <c r="F331" s="17" t="s">
        <v>850</v>
      </c>
      <c r="G331" s="17" t="s">
        <v>330</v>
      </c>
      <c r="H331" s="17" t="s">
        <v>331</v>
      </c>
      <c r="I331" s="17" t="s">
        <v>91</v>
      </c>
      <c r="J331" s="17" t="s">
        <v>539</v>
      </c>
    </row>
    <row r="332" customFormat="false" ht="15" hidden="false" customHeight="true" outlineLevel="0" collapsed="false">
      <c r="A332" s="17" t="n">
        <v>952</v>
      </c>
      <c r="B332" s="17" t="s">
        <v>540</v>
      </c>
      <c r="C332" s="17" t="s">
        <v>561</v>
      </c>
      <c r="D332" s="17" t="s">
        <v>1039</v>
      </c>
      <c r="E332" s="17" t="s">
        <v>59</v>
      </c>
      <c r="F332" s="17" t="s">
        <v>401</v>
      </c>
      <c r="G332" s="17" t="s">
        <v>330</v>
      </c>
      <c r="H332" s="17" t="s">
        <v>331</v>
      </c>
      <c r="I332" s="17" t="s">
        <v>91</v>
      </c>
      <c r="J332" s="17" t="s">
        <v>539</v>
      </c>
    </row>
    <row r="333" customFormat="false" ht="15" hidden="false" customHeight="true" outlineLevel="0" collapsed="false">
      <c r="A333" s="17" t="n">
        <v>1222</v>
      </c>
      <c r="B333" s="17" t="s">
        <v>540</v>
      </c>
      <c r="C333" s="17" t="s">
        <v>559</v>
      </c>
      <c r="D333" s="17" t="s">
        <v>1040</v>
      </c>
      <c r="E333" s="17" t="s">
        <v>59</v>
      </c>
      <c r="F333" s="17" t="s">
        <v>853</v>
      </c>
      <c r="G333" s="17" t="s">
        <v>330</v>
      </c>
      <c r="H333" s="17" t="s">
        <v>331</v>
      </c>
      <c r="I333" s="17" t="s">
        <v>91</v>
      </c>
      <c r="J333" s="17" t="s">
        <v>539</v>
      </c>
    </row>
    <row r="334" customFormat="false" ht="15" hidden="false" customHeight="true" outlineLevel="0" collapsed="false">
      <c r="A334" s="17" t="n">
        <v>946</v>
      </c>
      <c r="B334" s="17" t="s">
        <v>540</v>
      </c>
      <c r="C334" s="17" t="s">
        <v>561</v>
      </c>
      <c r="D334" s="17" t="s">
        <v>1041</v>
      </c>
      <c r="E334" s="17" t="s">
        <v>59</v>
      </c>
      <c r="F334" s="17" t="s">
        <v>855</v>
      </c>
      <c r="G334" s="17" t="s">
        <v>330</v>
      </c>
      <c r="H334" s="17" t="s">
        <v>331</v>
      </c>
      <c r="I334" s="17" t="s">
        <v>91</v>
      </c>
      <c r="J334" s="17" t="s">
        <v>539</v>
      </c>
    </row>
    <row r="335" customFormat="false" ht="15" hidden="false" customHeight="true" outlineLevel="0" collapsed="false">
      <c r="A335" s="17" t="n">
        <v>720</v>
      </c>
      <c r="B335" s="17" t="s">
        <v>540</v>
      </c>
      <c r="C335" s="17" t="s">
        <v>543</v>
      </c>
      <c r="D335" s="17" t="s">
        <v>1042</v>
      </c>
      <c r="E335" s="17" t="s">
        <v>59</v>
      </c>
      <c r="F335" s="17" t="s">
        <v>1043</v>
      </c>
      <c r="G335" s="17" t="s">
        <v>545</v>
      </c>
      <c r="H335" s="17" t="s">
        <v>331</v>
      </c>
      <c r="I335" s="17" t="s">
        <v>91</v>
      </c>
      <c r="J335" s="17" t="s">
        <v>539</v>
      </c>
    </row>
    <row r="336" customFormat="false" ht="15" hidden="false" customHeight="true" outlineLevel="0" collapsed="false">
      <c r="A336" s="17" t="n">
        <v>776</v>
      </c>
      <c r="B336" s="17" t="s">
        <v>540</v>
      </c>
      <c r="C336" s="17" t="s">
        <v>660</v>
      </c>
      <c r="D336" s="17" t="s">
        <v>1044</v>
      </c>
      <c r="E336" s="17" t="s">
        <v>59</v>
      </c>
      <c r="F336" s="17" t="s">
        <v>1045</v>
      </c>
      <c r="G336" s="17" t="s">
        <v>330</v>
      </c>
      <c r="H336" s="17" t="s">
        <v>331</v>
      </c>
      <c r="I336" s="17" t="s">
        <v>91</v>
      </c>
      <c r="J336" s="17" t="s">
        <v>539</v>
      </c>
    </row>
    <row r="337" customFormat="false" ht="15" hidden="false" customHeight="true" outlineLevel="0" collapsed="false">
      <c r="A337" s="17" t="n">
        <v>1058</v>
      </c>
      <c r="B337" s="17" t="s">
        <v>540</v>
      </c>
      <c r="C337" s="17" t="s">
        <v>546</v>
      </c>
      <c r="D337" s="17" t="s">
        <v>1046</v>
      </c>
      <c r="E337" s="17" t="s">
        <v>59</v>
      </c>
      <c r="F337" s="17" t="s">
        <v>858</v>
      </c>
      <c r="G337" s="17" t="s">
        <v>330</v>
      </c>
      <c r="H337" s="17" t="s">
        <v>331</v>
      </c>
      <c r="I337" s="17" t="s">
        <v>91</v>
      </c>
      <c r="J337" s="17" t="s">
        <v>539</v>
      </c>
    </row>
    <row r="338" customFormat="false" ht="15" hidden="false" customHeight="true" outlineLevel="0" collapsed="false">
      <c r="A338" s="17" t="n">
        <v>1162</v>
      </c>
      <c r="B338" s="17" t="s">
        <v>540</v>
      </c>
      <c r="C338" s="17" t="s">
        <v>653</v>
      </c>
      <c r="D338" s="17" t="s">
        <v>1047</v>
      </c>
      <c r="E338" s="17" t="s">
        <v>59</v>
      </c>
      <c r="F338" s="17" t="s">
        <v>402</v>
      </c>
      <c r="G338" s="17" t="s">
        <v>330</v>
      </c>
      <c r="H338" s="17" t="s">
        <v>331</v>
      </c>
      <c r="I338" s="17" t="s">
        <v>91</v>
      </c>
      <c r="J338" s="17" t="s">
        <v>539</v>
      </c>
    </row>
    <row r="339" customFormat="false" ht="15" hidden="false" customHeight="true" outlineLevel="0" collapsed="false">
      <c r="A339" s="17" t="n">
        <v>1319</v>
      </c>
      <c r="B339" s="17" t="s">
        <v>540</v>
      </c>
      <c r="C339" s="17" t="s">
        <v>571</v>
      </c>
      <c r="D339" s="17" t="s">
        <v>1048</v>
      </c>
      <c r="E339" s="17" t="s">
        <v>59</v>
      </c>
      <c r="F339" s="17" t="s">
        <v>403</v>
      </c>
      <c r="G339" s="17" t="s">
        <v>330</v>
      </c>
      <c r="H339" s="17" t="s">
        <v>331</v>
      </c>
      <c r="I339" s="17" t="s">
        <v>91</v>
      </c>
      <c r="J339" s="17" t="s">
        <v>539</v>
      </c>
    </row>
    <row r="340" customFormat="false" ht="15" hidden="false" customHeight="true" outlineLevel="0" collapsed="false">
      <c r="A340" s="17" t="n">
        <v>1274</v>
      </c>
      <c r="B340" s="17" t="s">
        <v>540</v>
      </c>
      <c r="C340" s="17" t="s">
        <v>575</v>
      </c>
      <c r="D340" s="17" t="s">
        <v>1049</v>
      </c>
      <c r="E340" s="17" t="s">
        <v>59</v>
      </c>
      <c r="F340" s="17" t="s">
        <v>860</v>
      </c>
      <c r="G340" s="17" t="s">
        <v>344</v>
      </c>
      <c r="H340" s="17" t="s">
        <v>331</v>
      </c>
      <c r="I340" s="17" t="s">
        <v>91</v>
      </c>
      <c r="J340" s="17" t="s">
        <v>539</v>
      </c>
    </row>
    <row r="341" customFormat="false" ht="15" hidden="false" customHeight="true" outlineLevel="0" collapsed="false">
      <c r="A341" s="17" t="n">
        <v>948</v>
      </c>
      <c r="B341" s="17" t="s">
        <v>540</v>
      </c>
      <c r="C341" s="17" t="s">
        <v>561</v>
      </c>
      <c r="D341" s="17" t="s">
        <v>1050</v>
      </c>
      <c r="E341" s="17" t="s">
        <v>59</v>
      </c>
      <c r="F341" s="17" t="s">
        <v>149</v>
      </c>
      <c r="G341" s="17" t="s">
        <v>330</v>
      </c>
      <c r="H341" s="17" t="s">
        <v>331</v>
      </c>
      <c r="I341" s="17" t="s">
        <v>91</v>
      </c>
      <c r="J341" s="17" t="s">
        <v>539</v>
      </c>
    </row>
    <row r="342" customFormat="false" ht="15" hidden="false" customHeight="true" outlineLevel="0" collapsed="false">
      <c r="A342" s="17" t="n">
        <v>1229</v>
      </c>
      <c r="B342" s="17" t="s">
        <v>540</v>
      </c>
      <c r="C342" s="17" t="s">
        <v>559</v>
      </c>
      <c r="D342" s="17" t="s">
        <v>1051</v>
      </c>
      <c r="E342" s="17" t="s">
        <v>59</v>
      </c>
      <c r="F342" s="17" t="s">
        <v>1052</v>
      </c>
      <c r="G342" s="17" t="s">
        <v>330</v>
      </c>
      <c r="H342" s="17" t="s">
        <v>331</v>
      </c>
      <c r="I342" s="17" t="s">
        <v>91</v>
      </c>
      <c r="J342" s="17" t="s">
        <v>539</v>
      </c>
    </row>
    <row r="343" customFormat="false" ht="15" hidden="false" customHeight="true" outlineLevel="0" collapsed="false">
      <c r="A343" s="17" t="n">
        <v>707</v>
      </c>
      <c r="B343" s="17" t="s">
        <v>540</v>
      </c>
      <c r="C343" s="17" t="s">
        <v>543</v>
      </c>
      <c r="D343" s="17" t="s">
        <v>1053</v>
      </c>
      <c r="E343" s="17" t="s">
        <v>59</v>
      </c>
      <c r="F343" s="17" t="s">
        <v>1054</v>
      </c>
      <c r="G343" s="17" t="s">
        <v>545</v>
      </c>
      <c r="H343" s="17" t="s">
        <v>331</v>
      </c>
      <c r="I343" s="17" t="s">
        <v>91</v>
      </c>
      <c r="J343" s="17" t="s">
        <v>539</v>
      </c>
    </row>
    <row r="344" customFormat="false" ht="15" hidden="false" customHeight="true" outlineLevel="0" collapsed="false">
      <c r="A344" s="17" t="n">
        <v>778</v>
      </c>
      <c r="B344" s="17" t="s">
        <v>540</v>
      </c>
      <c r="C344" s="17" t="s">
        <v>660</v>
      </c>
      <c r="D344" s="17" t="s">
        <v>1055</v>
      </c>
      <c r="E344" s="17" t="s">
        <v>59</v>
      </c>
      <c r="F344" s="17" t="s">
        <v>862</v>
      </c>
      <c r="G344" s="17" t="s">
        <v>330</v>
      </c>
      <c r="H344" s="17" t="s">
        <v>331</v>
      </c>
      <c r="I344" s="17" t="s">
        <v>91</v>
      </c>
      <c r="J344" s="17" t="s">
        <v>539</v>
      </c>
    </row>
    <row r="345" customFormat="false" ht="15" hidden="false" customHeight="true" outlineLevel="0" collapsed="false">
      <c r="A345" s="17" t="n">
        <v>1063</v>
      </c>
      <c r="B345" s="17" t="s">
        <v>540</v>
      </c>
      <c r="C345" s="17" t="s">
        <v>546</v>
      </c>
      <c r="D345" s="17" t="s">
        <v>1056</v>
      </c>
      <c r="E345" s="17" t="s">
        <v>59</v>
      </c>
      <c r="F345" s="17" t="s">
        <v>862</v>
      </c>
      <c r="G345" s="17" t="s">
        <v>330</v>
      </c>
      <c r="H345" s="17" t="s">
        <v>331</v>
      </c>
      <c r="I345" s="17" t="s">
        <v>91</v>
      </c>
      <c r="J345" s="17" t="s">
        <v>539</v>
      </c>
    </row>
    <row r="346" customFormat="false" ht="15" hidden="false" customHeight="true" outlineLevel="0" collapsed="false">
      <c r="A346" s="17" t="n">
        <v>1282</v>
      </c>
      <c r="B346" s="17" t="s">
        <v>540</v>
      </c>
      <c r="C346" s="17" t="s">
        <v>575</v>
      </c>
      <c r="D346" s="17" t="s">
        <v>1057</v>
      </c>
      <c r="E346" s="17" t="s">
        <v>59</v>
      </c>
      <c r="F346" s="17" t="s">
        <v>361</v>
      </c>
      <c r="G346" s="17" t="s">
        <v>344</v>
      </c>
      <c r="H346" s="17" t="s">
        <v>331</v>
      </c>
      <c r="I346" s="17" t="s">
        <v>91</v>
      </c>
      <c r="J346" s="17" t="s">
        <v>539</v>
      </c>
    </row>
    <row r="347" customFormat="false" ht="15" hidden="false" customHeight="true" outlineLevel="0" collapsed="false">
      <c r="A347" s="18" t="n">
        <v>1686</v>
      </c>
      <c r="B347" s="18" t="s">
        <v>1058</v>
      </c>
      <c r="C347" s="18" t="s">
        <v>1059</v>
      </c>
      <c r="D347" s="18" t="s">
        <v>1060</v>
      </c>
      <c r="E347" s="18" t="s">
        <v>59</v>
      </c>
      <c r="F347" s="18" t="s">
        <v>60</v>
      </c>
      <c r="G347" s="18" t="s">
        <v>1061</v>
      </c>
      <c r="H347" s="18" t="s">
        <v>1062</v>
      </c>
      <c r="I347" s="18" t="s">
        <v>91</v>
      </c>
      <c r="J347" s="18" t="s">
        <v>548</v>
      </c>
    </row>
    <row r="348" customFormat="false" ht="15" hidden="false" customHeight="true" outlineLevel="0" collapsed="false">
      <c r="A348" s="17" t="n">
        <v>1602</v>
      </c>
      <c r="B348" s="17" t="s">
        <v>696</v>
      </c>
      <c r="C348" s="17" t="s">
        <v>1063</v>
      </c>
      <c r="D348" s="17" t="s">
        <v>1064</v>
      </c>
      <c r="E348" s="17" t="s">
        <v>59</v>
      </c>
      <c r="F348" s="17" t="s">
        <v>413</v>
      </c>
      <c r="G348" s="17" t="s">
        <v>344</v>
      </c>
      <c r="H348" s="17" t="s">
        <v>699</v>
      </c>
      <c r="I348" s="17" t="s">
        <v>91</v>
      </c>
      <c r="J348" s="17" t="s">
        <v>539</v>
      </c>
    </row>
    <row r="349" customFormat="false" ht="15" hidden="false" customHeight="true" outlineLevel="0" collapsed="false">
      <c r="A349" s="17" t="n">
        <v>1191</v>
      </c>
      <c r="B349" s="17" t="s">
        <v>540</v>
      </c>
      <c r="C349" s="17" t="s">
        <v>808</v>
      </c>
      <c r="D349" s="17" t="s">
        <v>1065</v>
      </c>
      <c r="E349" s="17" t="s">
        <v>59</v>
      </c>
      <c r="F349" s="17" t="s">
        <v>888</v>
      </c>
      <c r="G349" s="17" t="s">
        <v>330</v>
      </c>
      <c r="H349" s="17" t="s">
        <v>331</v>
      </c>
      <c r="I349" s="17" t="s">
        <v>91</v>
      </c>
      <c r="J349" s="17" t="s">
        <v>539</v>
      </c>
    </row>
    <row r="350" customFormat="false" ht="15" hidden="false" customHeight="true" outlineLevel="0" collapsed="false">
      <c r="A350" s="17" t="n">
        <v>1601</v>
      </c>
      <c r="B350" s="17" t="s">
        <v>696</v>
      </c>
      <c r="C350" s="17" t="s">
        <v>1066</v>
      </c>
      <c r="D350" s="17" t="s">
        <v>1067</v>
      </c>
      <c r="E350" s="17" t="s">
        <v>59</v>
      </c>
      <c r="F350" s="17" t="s">
        <v>418</v>
      </c>
      <c r="G350" s="17" t="s">
        <v>344</v>
      </c>
      <c r="H350" s="17" t="s">
        <v>699</v>
      </c>
      <c r="I350" s="17" t="s">
        <v>91</v>
      </c>
      <c r="J350" s="17" t="s">
        <v>539</v>
      </c>
    </row>
    <row r="351" customFormat="false" ht="15" hidden="false" customHeight="true" outlineLevel="0" collapsed="false">
      <c r="A351" s="17" t="n">
        <v>1603</v>
      </c>
      <c r="B351" s="17" t="s">
        <v>696</v>
      </c>
      <c r="C351" s="17" t="s">
        <v>1068</v>
      </c>
      <c r="D351" s="17" t="s">
        <v>1069</v>
      </c>
      <c r="E351" s="17" t="s">
        <v>59</v>
      </c>
      <c r="F351" s="17" t="s">
        <v>735</v>
      </c>
      <c r="G351" s="17" t="s">
        <v>344</v>
      </c>
      <c r="H351" s="17" t="s">
        <v>699</v>
      </c>
      <c r="I351" s="17" t="s">
        <v>91</v>
      </c>
      <c r="J351" s="17" t="s">
        <v>539</v>
      </c>
    </row>
    <row r="352" customFormat="false" ht="15" hidden="false" customHeight="true" outlineLevel="0" collapsed="false">
      <c r="A352" s="17" t="n">
        <v>1211</v>
      </c>
      <c r="B352" s="17" t="s">
        <v>540</v>
      </c>
      <c r="C352" s="17" t="s">
        <v>549</v>
      </c>
      <c r="D352" s="17" t="s">
        <v>1070</v>
      </c>
      <c r="E352" s="17" t="s">
        <v>59</v>
      </c>
      <c r="F352" s="17" t="s">
        <v>1071</v>
      </c>
      <c r="G352" s="17" t="s">
        <v>330</v>
      </c>
      <c r="H352" s="17" t="s">
        <v>331</v>
      </c>
      <c r="I352" s="17" t="s">
        <v>91</v>
      </c>
      <c r="J352" s="17" t="s">
        <v>539</v>
      </c>
    </row>
    <row r="353" customFormat="false" ht="15" hidden="false" customHeight="true" outlineLevel="0" collapsed="false">
      <c r="A353" s="17" t="n">
        <v>722</v>
      </c>
      <c r="B353" s="17" t="s">
        <v>540</v>
      </c>
      <c r="C353" s="17" t="s">
        <v>543</v>
      </c>
      <c r="D353" s="17" t="s">
        <v>1072</v>
      </c>
      <c r="E353" s="17" t="s">
        <v>59</v>
      </c>
      <c r="F353" s="17" t="s">
        <v>1073</v>
      </c>
      <c r="G353" s="17" t="s">
        <v>545</v>
      </c>
      <c r="H353" s="17" t="s">
        <v>331</v>
      </c>
      <c r="I353" s="17" t="s">
        <v>91</v>
      </c>
      <c r="J353" s="17" t="s">
        <v>539</v>
      </c>
    </row>
    <row r="354" customFormat="false" ht="15" hidden="false" customHeight="true" outlineLevel="0" collapsed="false">
      <c r="A354" s="17" t="n">
        <v>704</v>
      </c>
      <c r="B354" s="17" t="s">
        <v>540</v>
      </c>
      <c r="C354" s="17" t="s">
        <v>543</v>
      </c>
      <c r="D354" s="17" t="s">
        <v>1074</v>
      </c>
      <c r="E354" s="17" t="s">
        <v>59</v>
      </c>
      <c r="F354" s="17" t="s">
        <v>1075</v>
      </c>
      <c r="G354" s="17" t="s">
        <v>545</v>
      </c>
      <c r="H354" s="17" t="s">
        <v>331</v>
      </c>
      <c r="I354" s="17" t="s">
        <v>91</v>
      </c>
      <c r="J354" s="17" t="s">
        <v>539</v>
      </c>
    </row>
    <row r="355" customFormat="false" ht="15" hidden="false" customHeight="true" outlineLevel="0" collapsed="false">
      <c r="A355" s="17" t="n">
        <v>768</v>
      </c>
      <c r="B355" s="17" t="s">
        <v>540</v>
      </c>
      <c r="C355" s="17" t="s">
        <v>660</v>
      </c>
      <c r="D355" s="17" t="s">
        <v>1076</v>
      </c>
      <c r="E355" s="17" t="s">
        <v>59</v>
      </c>
      <c r="F355" s="17" t="s">
        <v>1077</v>
      </c>
      <c r="G355" s="17" t="s">
        <v>330</v>
      </c>
      <c r="H355" s="17" t="s">
        <v>331</v>
      </c>
      <c r="I355" s="17" t="s">
        <v>91</v>
      </c>
      <c r="J355" s="17" t="s">
        <v>539</v>
      </c>
    </row>
    <row r="356" customFormat="false" ht="15" hidden="false" customHeight="true" outlineLevel="0" collapsed="false">
      <c r="A356" s="17" t="n">
        <v>1056</v>
      </c>
      <c r="B356" s="17" t="s">
        <v>540</v>
      </c>
      <c r="C356" s="17" t="s">
        <v>546</v>
      </c>
      <c r="D356" s="17" t="s">
        <v>1078</v>
      </c>
      <c r="E356" s="17" t="s">
        <v>59</v>
      </c>
      <c r="F356" s="17" t="s">
        <v>1077</v>
      </c>
      <c r="G356" s="17" t="s">
        <v>330</v>
      </c>
      <c r="H356" s="17" t="s">
        <v>331</v>
      </c>
      <c r="I356" s="17" t="s">
        <v>91</v>
      </c>
      <c r="J356" s="17" t="s">
        <v>539</v>
      </c>
    </row>
    <row r="357" customFormat="false" ht="15" hidden="false" customHeight="true" outlineLevel="0" collapsed="false">
      <c r="A357" s="17" t="n">
        <v>1272</v>
      </c>
      <c r="B357" s="17" t="s">
        <v>540</v>
      </c>
      <c r="C357" s="17" t="s">
        <v>575</v>
      </c>
      <c r="D357" s="17" t="s">
        <v>1079</v>
      </c>
      <c r="E357" s="17" t="s">
        <v>59</v>
      </c>
      <c r="F357" s="17" t="s">
        <v>1080</v>
      </c>
      <c r="G357" s="17" t="s">
        <v>344</v>
      </c>
      <c r="H357" s="17" t="s">
        <v>331</v>
      </c>
      <c r="I357" s="17" t="s">
        <v>91</v>
      </c>
      <c r="J357" s="17" t="s">
        <v>539</v>
      </c>
    </row>
    <row r="358" customFormat="false" ht="15" hidden="false" customHeight="true" outlineLevel="0" collapsed="false">
      <c r="A358" s="17" t="n">
        <v>1163</v>
      </c>
      <c r="B358" s="17" t="s">
        <v>540</v>
      </c>
      <c r="C358" s="17" t="s">
        <v>653</v>
      </c>
      <c r="D358" s="17" t="s">
        <v>1081</v>
      </c>
      <c r="E358" s="17" t="s">
        <v>59</v>
      </c>
      <c r="F358" s="17" t="s">
        <v>1082</v>
      </c>
      <c r="G358" s="17" t="s">
        <v>330</v>
      </c>
      <c r="H358" s="17" t="s">
        <v>331</v>
      </c>
      <c r="I358" s="17" t="s">
        <v>91</v>
      </c>
      <c r="J358" s="17" t="s">
        <v>539</v>
      </c>
    </row>
    <row r="359" customFormat="false" ht="15" hidden="false" customHeight="true" outlineLevel="0" collapsed="false">
      <c r="A359" s="17" t="n">
        <v>712</v>
      </c>
      <c r="B359" s="17" t="s">
        <v>540</v>
      </c>
      <c r="C359" s="17" t="s">
        <v>543</v>
      </c>
      <c r="D359" s="17" t="s">
        <v>1083</v>
      </c>
      <c r="E359" s="17" t="s">
        <v>59</v>
      </c>
      <c r="F359" s="17" t="s">
        <v>1084</v>
      </c>
      <c r="G359" s="17" t="s">
        <v>545</v>
      </c>
      <c r="H359" s="17" t="s">
        <v>331</v>
      </c>
      <c r="I359" s="17" t="s">
        <v>592</v>
      </c>
      <c r="J359" s="17" t="s">
        <v>539</v>
      </c>
    </row>
    <row r="360" customFormat="false" ht="15" hidden="false" customHeight="true" outlineLevel="0" collapsed="false">
      <c r="A360" s="17" t="n">
        <v>1269</v>
      </c>
      <c r="B360" s="17" t="s">
        <v>540</v>
      </c>
      <c r="C360" s="17" t="s">
        <v>575</v>
      </c>
      <c r="D360" s="17" t="s">
        <v>1085</v>
      </c>
      <c r="E360" s="17" t="s">
        <v>59</v>
      </c>
      <c r="F360" s="17" t="s">
        <v>1086</v>
      </c>
      <c r="G360" s="17" t="s">
        <v>344</v>
      </c>
      <c r="H360" s="17" t="s">
        <v>331</v>
      </c>
      <c r="I360" s="17" t="s">
        <v>91</v>
      </c>
      <c r="J360" s="17" t="s">
        <v>539</v>
      </c>
    </row>
    <row r="361" customFormat="false" ht="15" hidden="false" customHeight="true" outlineLevel="0" collapsed="false">
      <c r="A361" s="17" t="n">
        <v>706</v>
      </c>
      <c r="B361" s="17" t="s">
        <v>540</v>
      </c>
      <c r="C361" s="17" t="s">
        <v>543</v>
      </c>
      <c r="D361" s="17" t="s">
        <v>1087</v>
      </c>
      <c r="E361" s="17" t="s">
        <v>59</v>
      </c>
      <c r="F361" s="17" t="s">
        <v>1088</v>
      </c>
      <c r="G361" s="17" t="s">
        <v>545</v>
      </c>
      <c r="H361" s="17" t="s">
        <v>331</v>
      </c>
      <c r="I361" s="17" t="s">
        <v>91</v>
      </c>
      <c r="J361" s="17" t="s">
        <v>539</v>
      </c>
    </row>
    <row r="362" customFormat="false" ht="15" hidden="false" customHeight="true" outlineLevel="0" collapsed="false">
      <c r="A362" s="17" t="n">
        <v>777</v>
      </c>
      <c r="B362" s="17" t="s">
        <v>540</v>
      </c>
      <c r="C362" s="17" t="s">
        <v>660</v>
      </c>
      <c r="D362" s="17" t="s">
        <v>1089</v>
      </c>
      <c r="E362" s="17" t="s">
        <v>59</v>
      </c>
      <c r="F362" s="17" t="s">
        <v>1090</v>
      </c>
      <c r="G362" s="17" t="s">
        <v>330</v>
      </c>
      <c r="H362" s="17" t="s">
        <v>331</v>
      </c>
      <c r="I362" s="17" t="s">
        <v>91</v>
      </c>
      <c r="J362" s="17" t="s">
        <v>539</v>
      </c>
    </row>
    <row r="363" customFormat="false" ht="15" hidden="false" customHeight="true" outlineLevel="0" collapsed="false">
      <c r="A363" s="17" t="n">
        <v>1052</v>
      </c>
      <c r="B363" s="17" t="s">
        <v>540</v>
      </c>
      <c r="C363" s="17" t="s">
        <v>546</v>
      </c>
      <c r="D363" s="17" t="s">
        <v>1091</v>
      </c>
      <c r="E363" s="17" t="s">
        <v>59</v>
      </c>
      <c r="F363" s="17" t="s">
        <v>1090</v>
      </c>
      <c r="G363" s="17" t="s">
        <v>330</v>
      </c>
      <c r="H363" s="17" t="s">
        <v>331</v>
      </c>
      <c r="I363" s="17" t="s">
        <v>91</v>
      </c>
      <c r="J363" s="17" t="s">
        <v>539</v>
      </c>
    </row>
    <row r="364" customFormat="false" ht="15" hidden="false" customHeight="true" outlineLevel="0" collapsed="false">
      <c r="A364" s="17" t="n">
        <v>1137</v>
      </c>
      <c r="B364" s="17" t="s">
        <v>540</v>
      </c>
      <c r="C364" s="17" t="s">
        <v>653</v>
      </c>
      <c r="D364" s="17" t="s">
        <v>1092</v>
      </c>
      <c r="E364" s="17" t="s">
        <v>59</v>
      </c>
      <c r="F364" s="17" t="s">
        <v>1093</v>
      </c>
      <c r="G364" s="17" t="s">
        <v>330</v>
      </c>
      <c r="H364" s="17" t="s">
        <v>331</v>
      </c>
      <c r="I364" s="17" t="s">
        <v>592</v>
      </c>
      <c r="J364" s="17" t="s">
        <v>539</v>
      </c>
    </row>
    <row r="365" customFormat="false" ht="15" hidden="false" customHeight="true" outlineLevel="0" collapsed="false">
      <c r="A365" s="17" t="n">
        <v>899</v>
      </c>
      <c r="B365" s="17" t="s">
        <v>540</v>
      </c>
      <c r="C365" s="17" t="s">
        <v>675</v>
      </c>
      <c r="D365" s="17" t="s">
        <v>1094</v>
      </c>
      <c r="E365" s="17" t="s">
        <v>59</v>
      </c>
      <c r="F365" s="17" t="s">
        <v>1095</v>
      </c>
      <c r="G365" s="17" t="s">
        <v>330</v>
      </c>
      <c r="H365" s="17" t="s">
        <v>331</v>
      </c>
      <c r="I365" s="17" t="s">
        <v>91</v>
      </c>
      <c r="J365" s="17" t="s">
        <v>539</v>
      </c>
    </row>
    <row r="366" customFormat="false" ht="15" hidden="false" customHeight="true" outlineLevel="0" collapsed="false">
      <c r="A366" s="17" t="n">
        <v>900</v>
      </c>
      <c r="B366" s="17" t="s">
        <v>540</v>
      </c>
      <c r="C366" s="17" t="s">
        <v>675</v>
      </c>
      <c r="D366" s="17" t="s">
        <v>1096</v>
      </c>
      <c r="E366" s="17" t="s">
        <v>59</v>
      </c>
      <c r="F366" s="17" t="s">
        <v>1097</v>
      </c>
      <c r="G366" s="17" t="s">
        <v>330</v>
      </c>
      <c r="H366" s="17" t="s">
        <v>331</v>
      </c>
      <c r="I366" s="17" t="s">
        <v>91</v>
      </c>
      <c r="J366" s="17" t="s">
        <v>539</v>
      </c>
    </row>
    <row r="367" customFormat="false" ht="15" hidden="false" customHeight="true" outlineLevel="0" collapsed="false">
      <c r="A367" s="17" t="n">
        <v>1135</v>
      </c>
      <c r="B367" s="17" t="s">
        <v>540</v>
      </c>
      <c r="C367" s="17" t="s">
        <v>653</v>
      </c>
      <c r="D367" s="17" t="s">
        <v>1098</v>
      </c>
      <c r="E367" s="17" t="s">
        <v>59</v>
      </c>
      <c r="F367" s="17" t="s">
        <v>1099</v>
      </c>
      <c r="G367" s="17" t="s">
        <v>330</v>
      </c>
      <c r="H367" s="17" t="s">
        <v>331</v>
      </c>
      <c r="I367" s="17" t="s">
        <v>91</v>
      </c>
      <c r="J367" s="17" t="s">
        <v>539</v>
      </c>
    </row>
    <row r="368" customFormat="false" ht="15" hidden="false" customHeight="true" outlineLevel="0" collapsed="false">
      <c r="A368" s="17" t="n">
        <v>1140</v>
      </c>
      <c r="B368" s="17" t="s">
        <v>540</v>
      </c>
      <c r="C368" s="17" t="s">
        <v>653</v>
      </c>
      <c r="D368" s="17" t="s">
        <v>1100</v>
      </c>
      <c r="E368" s="17" t="s">
        <v>59</v>
      </c>
      <c r="F368" s="17" t="s">
        <v>1101</v>
      </c>
      <c r="G368" s="17" t="s">
        <v>330</v>
      </c>
      <c r="H368" s="17" t="s">
        <v>331</v>
      </c>
      <c r="I368" s="17" t="s">
        <v>91</v>
      </c>
      <c r="J368" s="17" t="s">
        <v>539</v>
      </c>
    </row>
    <row r="369" customFormat="false" ht="15" hidden="false" customHeight="true" outlineLevel="0" collapsed="false">
      <c r="A369" s="17" t="n">
        <v>1124</v>
      </c>
      <c r="B369" s="17" t="s">
        <v>540</v>
      </c>
      <c r="C369" s="17" t="s">
        <v>653</v>
      </c>
      <c r="D369" s="17" t="s">
        <v>1102</v>
      </c>
      <c r="E369" s="17" t="s">
        <v>59</v>
      </c>
      <c r="F369" s="17" t="s">
        <v>1103</v>
      </c>
      <c r="G369" s="17" t="s">
        <v>330</v>
      </c>
      <c r="H369" s="17" t="s">
        <v>331</v>
      </c>
      <c r="I369" s="17" t="s">
        <v>91</v>
      </c>
      <c r="J369" s="17" t="s">
        <v>539</v>
      </c>
    </row>
    <row r="370" customFormat="false" ht="15" hidden="false" customHeight="true" outlineLevel="0" collapsed="false">
      <c r="A370" s="17" t="n">
        <v>1127</v>
      </c>
      <c r="B370" s="17" t="s">
        <v>540</v>
      </c>
      <c r="C370" s="17" t="s">
        <v>653</v>
      </c>
      <c r="D370" s="17" t="s">
        <v>1104</v>
      </c>
      <c r="E370" s="17" t="s">
        <v>59</v>
      </c>
      <c r="F370" s="17" t="s">
        <v>1105</v>
      </c>
      <c r="G370" s="17" t="s">
        <v>330</v>
      </c>
      <c r="H370" s="17" t="s">
        <v>331</v>
      </c>
      <c r="I370" s="17" t="s">
        <v>91</v>
      </c>
      <c r="J370" s="17" t="s">
        <v>539</v>
      </c>
    </row>
    <row r="371" customFormat="false" ht="15" hidden="false" customHeight="true" outlineLevel="0" collapsed="false">
      <c r="A371" s="17" t="n">
        <v>1136</v>
      </c>
      <c r="B371" s="17" t="s">
        <v>540</v>
      </c>
      <c r="C371" s="17" t="s">
        <v>653</v>
      </c>
      <c r="D371" s="17" t="s">
        <v>1106</v>
      </c>
      <c r="E371" s="17" t="s">
        <v>59</v>
      </c>
      <c r="F371" s="17" t="s">
        <v>1107</v>
      </c>
      <c r="G371" s="17" t="s">
        <v>330</v>
      </c>
      <c r="H371" s="17" t="s">
        <v>331</v>
      </c>
      <c r="I371" s="17" t="s">
        <v>91</v>
      </c>
      <c r="J371" s="17" t="s">
        <v>539</v>
      </c>
    </row>
    <row r="372" customFormat="false" ht="15" hidden="false" customHeight="true" outlineLevel="0" collapsed="false">
      <c r="A372" s="17" t="n">
        <v>701</v>
      </c>
      <c r="B372" s="17" t="s">
        <v>540</v>
      </c>
      <c r="C372" s="17" t="s">
        <v>543</v>
      </c>
      <c r="D372" s="17" t="s">
        <v>1108</v>
      </c>
      <c r="E372" s="17" t="s">
        <v>59</v>
      </c>
      <c r="F372" s="17" t="s">
        <v>1109</v>
      </c>
      <c r="G372" s="17" t="s">
        <v>545</v>
      </c>
      <c r="H372" s="17" t="s">
        <v>331</v>
      </c>
      <c r="I372" s="17" t="s">
        <v>91</v>
      </c>
      <c r="J372" s="17" t="s">
        <v>539</v>
      </c>
    </row>
    <row r="373" customFormat="false" ht="15" hidden="false" customHeight="true" outlineLevel="0" collapsed="false">
      <c r="A373" s="17" t="n">
        <v>1126</v>
      </c>
      <c r="B373" s="17" t="s">
        <v>540</v>
      </c>
      <c r="C373" s="17" t="s">
        <v>653</v>
      </c>
      <c r="D373" s="17" t="s">
        <v>1110</v>
      </c>
      <c r="E373" s="17" t="s">
        <v>59</v>
      </c>
      <c r="F373" s="17" t="s">
        <v>1111</v>
      </c>
      <c r="G373" s="17" t="s">
        <v>330</v>
      </c>
      <c r="H373" s="17" t="s">
        <v>331</v>
      </c>
      <c r="I373" s="17" t="s">
        <v>91</v>
      </c>
      <c r="J373" s="17" t="s">
        <v>539</v>
      </c>
    </row>
    <row r="374" customFormat="false" ht="15" hidden="false" customHeight="true" outlineLevel="0" collapsed="false">
      <c r="A374" s="17" t="n">
        <v>1060</v>
      </c>
      <c r="B374" s="17" t="s">
        <v>540</v>
      </c>
      <c r="C374" s="17" t="s">
        <v>546</v>
      </c>
      <c r="D374" s="17" t="s">
        <v>1112</v>
      </c>
      <c r="E374" s="17" t="s">
        <v>59</v>
      </c>
      <c r="F374" s="17" t="s">
        <v>1113</v>
      </c>
      <c r="G374" s="17" t="s">
        <v>330</v>
      </c>
      <c r="H374" s="17" t="s">
        <v>331</v>
      </c>
      <c r="I374" s="17" t="s">
        <v>91</v>
      </c>
      <c r="J374" s="17" t="s">
        <v>539</v>
      </c>
    </row>
    <row r="375" customFormat="false" ht="15" hidden="false" customHeight="true" outlineLevel="0" collapsed="false">
      <c r="A375" s="17" t="n">
        <v>1128</v>
      </c>
      <c r="B375" s="17" t="s">
        <v>540</v>
      </c>
      <c r="C375" s="17" t="s">
        <v>653</v>
      </c>
      <c r="D375" s="17" t="s">
        <v>1114</v>
      </c>
      <c r="E375" s="17" t="s">
        <v>59</v>
      </c>
      <c r="F375" s="17" t="s">
        <v>1115</v>
      </c>
      <c r="G375" s="17" t="s">
        <v>330</v>
      </c>
      <c r="H375" s="17" t="s">
        <v>331</v>
      </c>
      <c r="I375" s="17" t="s">
        <v>91</v>
      </c>
      <c r="J375" s="17" t="s">
        <v>539</v>
      </c>
    </row>
    <row r="376" customFormat="false" ht="15" hidden="false" customHeight="true" outlineLevel="0" collapsed="false">
      <c r="A376" s="17" t="n">
        <v>1604</v>
      </c>
      <c r="B376" s="17" t="s">
        <v>696</v>
      </c>
      <c r="C376" s="17" t="s">
        <v>1116</v>
      </c>
      <c r="D376" s="17" t="s">
        <v>1117</v>
      </c>
      <c r="E376" s="17" t="s">
        <v>59</v>
      </c>
      <c r="F376" s="17" t="s">
        <v>264</v>
      </c>
      <c r="G376" s="17" t="s">
        <v>344</v>
      </c>
      <c r="H376" s="17" t="s">
        <v>699</v>
      </c>
      <c r="I376" s="17" t="s">
        <v>91</v>
      </c>
      <c r="J376" s="17" t="s">
        <v>539</v>
      </c>
    </row>
    <row r="377" customFormat="false" ht="15" hidden="false" customHeight="true" outlineLevel="0" collapsed="false">
      <c r="A377" s="17" t="n">
        <v>735</v>
      </c>
      <c r="B377" s="17" t="s">
        <v>540</v>
      </c>
      <c r="C377" s="17" t="s">
        <v>543</v>
      </c>
      <c r="D377" s="17" t="s">
        <v>1118</v>
      </c>
      <c r="E377" s="17" t="s">
        <v>59</v>
      </c>
      <c r="F377" s="17" t="s">
        <v>1119</v>
      </c>
      <c r="G377" s="17" t="s">
        <v>545</v>
      </c>
      <c r="H377" s="17" t="s">
        <v>331</v>
      </c>
      <c r="I377" s="17" t="s">
        <v>91</v>
      </c>
      <c r="J377" s="17" t="s">
        <v>539</v>
      </c>
    </row>
    <row r="378" customFormat="false" ht="15" hidden="false" customHeight="true" outlineLevel="0" collapsed="false">
      <c r="A378" s="17" t="n">
        <v>783</v>
      </c>
      <c r="B378" s="17" t="s">
        <v>540</v>
      </c>
      <c r="C378" s="17" t="s">
        <v>660</v>
      </c>
      <c r="D378" s="17" t="s">
        <v>1120</v>
      </c>
      <c r="E378" s="17" t="s">
        <v>59</v>
      </c>
      <c r="F378" s="17" t="s">
        <v>1121</v>
      </c>
      <c r="G378" s="17" t="s">
        <v>330</v>
      </c>
      <c r="H378" s="17" t="s">
        <v>331</v>
      </c>
      <c r="I378" s="17" t="s">
        <v>91</v>
      </c>
      <c r="J378" s="17" t="s">
        <v>539</v>
      </c>
    </row>
    <row r="379" customFormat="false" ht="15" hidden="false" customHeight="true" outlineLevel="0" collapsed="false">
      <c r="A379" s="17" t="n">
        <v>1069</v>
      </c>
      <c r="B379" s="17" t="s">
        <v>540</v>
      </c>
      <c r="C379" s="17" t="s">
        <v>546</v>
      </c>
      <c r="D379" s="17" t="s">
        <v>1122</v>
      </c>
      <c r="E379" s="17" t="s">
        <v>59</v>
      </c>
      <c r="F379" s="17" t="s">
        <v>1121</v>
      </c>
      <c r="G379" s="17" t="s">
        <v>330</v>
      </c>
      <c r="H379" s="17" t="s">
        <v>331</v>
      </c>
      <c r="I379" s="17" t="s">
        <v>91</v>
      </c>
      <c r="J379" s="17" t="s">
        <v>539</v>
      </c>
    </row>
    <row r="380" customFormat="false" ht="15" hidden="false" customHeight="true" outlineLevel="0" collapsed="false">
      <c r="A380" s="17" t="n">
        <v>1288</v>
      </c>
      <c r="B380" s="17" t="s">
        <v>540</v>
      </c>
      <c r="C380" s="17" t="s">
        <v>575</v>
      </c>
      <c r="D380" s="17" t="s">
        <v>1123</v>
      </c>
      <c r="E380" s="17" t="s">
        <v>59</v>
      </c>
      <c r="F380" s="17" t="s">
        <v>1124</v>
      </c>
      <c r="G380" s="17" t="s">
        <v>344</v>
      </c>
      <c r="H380" s="17" t="s">
        <v>331</v>
      </c>
      <c r="I380" s="17" t="s">
        <v>91</v>
      </c>
      <c r="J380" s="17" t="s">
        <v>539</v>
      </c>
    </row>
    <row r="381" customFormat="false" ht="15" hidden="false" customHeight="true" outlineLevel="0" collapsed="false">
      <c r="A381" s="17" t="n">
        <v>723</v>
      </c>
      <c r="B381" s="17" t="s">
        <v>540</v>
      </c>
      <c r="C381" s="17" t="s">
        <v>543</v>
      </c>
      <c r="D381" s="17" t="s">
        <v>1125</v>
      </c>
      <c r="E381" s="17" t="s">
        <v>59</v>
      </c>
      <c r="F381" s="17" t="s">
        <v>1126</v>
      </c>
      <c r="G381" s="17" t="s">
        <v>545</v>
      </c>
      <c r="H381" s="17" t="s">
        <v>331</v>
      </c>
      <c r="I381" s="17" t="s">
        <v>91</v>
      </c>
      <c r="J381" s="17" t="s">
        <v>539</v>
      </c>
    </row>
    <row r="382" customFormat="false" ht="15" hidden="false" customHeight="true" outlineLevel="0" collapsed="false">
      <c r="A382" s="17" t="n">
        <v>773</v>
      </c>
      <c r="B382" s="17" t="s">
        <v>540</v>
      </c>
      <c r="C382" s="17" t="s">
        <v>660</v>
      </c>
      <c r="D382" s="17" t="s">
        <v>1127</v>
      </c>
      <c r="E382" s="17" t="s">
        <v>59</v>
      </c>
      <c r="F382" s="17" t="s">
        <v>1128</v>
      </c>
      <c r="G382" s="17" t="s">
        <v>330</v>
      </c>
      <c r="H382" s="17" t="s">
        <v>331</v>
      </c>
      <c r="I382" s="17" t="s">
        <v>91</v>
      </c>
      <c r="J382" s="17" t="s">
        <v>539</v>
      </c>
    </row>
    <row r="383" customFormat="false" ht="15" hidden="false" customHeight="true" outlineLevel="0" collapsed="false">
      <c r="A383" s="17" t="n">
        <v>1062</v>
      </c>
      <c r="B383" s="17" t="s">
        <v>540</v>
      </c>
      <c r="C383" s="17" t="s">
        <v>546</v>
      </c>
      <c r="D383" s="17" t="s">
        <v>1129</v>
      </c>
      <c r="E383" s="17" t="s">
        <v>59</v>
      </c>
      <c r="F383" s="17" t="s">
        <v>1128</v>
      </c>
      <c r="G383" s="17" t="s">
        <v>330</v>
      </c>
      <c r="H383" s="17" t="s">
        <v>331</v>
      </c>
      <c r="I383" s="17" t="s">
        <v>91</v>
      </c>
      <c r="J383" s="17" t="s">
        <v>539</v>
      </c>
    </row>
    <row r="384" customFormat="false" ht="15" hidden="false" customHeight="true" outlineLevel="0" collapsed="false">
      <c r="A384" s="17" t="n">
        <v>1259</v>
      </c>
      <c r="B384" s="17" t="s">
        <v>540</v>
      </c>
      <c r="C384" s="17" t="s">
        <v>575</v>
      </c>
      <c r="D384" s="17" t="s">
        <v>1130</v>
      </c>
      <c r="E384" s="17" t="s">
        <v>59</v>
      </c>
      <c r="F384" s="17" t="s">
        <v>1131</v>
      </c>
      <c r="G384" s="17" t="s">
        <v>344</v>
      </c>
      <c r="H384" s="17" t="s">
        <v>331</v>
      </c>
      <c r="I384" s="17" t="s">
        <v>91</v>
      </c>
      <c r="J384" s="17" t="s">
        <v>539</v>
      </c>
    </row>
    <row r="385" customFormat="false" ht="15" hidden="false" customHeight="true" outlineLevel="0" collapsed="false">
      <c r="A385" s="17" t="n">
        <v>710</v>
      </c>
      <c r="B385" s="17" t="s">
        <v>540</v>
      </c>
      <c r="C385" s="17" t="s">
        <v>543</v>
      </c>
      <c r="D385" s="17" t="s">
        <v>1132</v>
      </c>
      <c r="E385" s="17" t="s">
        <v>59</v>
      </c>
      <c r="F385" s="17" t="s">
        <v>1133</v>
      </c>
      <c r="G385" s="17" t="s">
        <v>545</v>
      </c>
      <c r="H385" s="17" t="s">
        <v>331</v>
      </c>
      <c r="I385" s="17" t="s">
        <v>91</v>
      </c>
      <c r="J385" s="17" t="s">
        <v>539</v>
      </c>
    </row>
    <row r="386" customFormat="false" ht="15" hidden="false" customHeight="true" outlineLevel="0" collapsed="false">
      <c r="A386" s="17" t="n">
        <v>771</v>
      </c>
      <c r="B386" s="17" t="s">
        <v>540</v>
      </c>
      <c r="C386" s="17" t="s">
        <v>660</v>
      </c>
      <c r="D386" s="17" t="s">
        <v>1134</v>
      </c>
      <c r="E386" s="17" t="s">
        <v>59</v>
      </c>
      <c r="F386" s="17" t="s">
        <v>1135</v>
      </c>
      <c r="G386" s="17" t="s">
        <v>330</v>
      </c>
      <c r="H386" s="17" t="s">
        <v>331</v>
      </c>
      <c r="I386" s="17" t="s">
        <v>91</v>
      </c>
      <c r="J386" s="17" t="s">
        <v>539</v>
      </c>
    </row>
    <row r="387" customFormat="false" ht="15" hidden="false" customHeight="true" outlineLevel="0" collapsed="false">
      <c r="A387" s="17" t="n">
        <v>1065</v>
      </c>
      <c r="B387" s="17" t="s">
        <v>540</v>
      </c>
      <c r="C387" s="17" t="s">
        <v>546</v>
      </c>
      <c r="D387" s="17" t="s">
        <v>1136</v>
      </c>
      <c r="E387" s="17" t="s">
        <v>59</v>
      </c>
      <c r="F387" s="17" t="s">
        <v>1135</v>
      </c>
      <c r="G387" s="17" t="s">
        <v>330</v>
      </c>
      <c r="H387" s="17" t="s">
        <v>331</v>
      </c>
      <c r="I387" s="17" t="s">
        <v>91</v>
      </c>
      <c r="J387" s="17" t="s">
        <v>539</v>
      </c>
    </row>
    <row r="388" customFormat="false" ht="15" hidden="false" customHeight="true" outlineLevel="0" collapsed="false">
      <c r="A388" s="17" t="n">
        <v>1273</v>
      </c>
      <c r="B388" s="17" t="s">
        <v>540</v>
      </c>
      <c r="C388" s="17" t="s">
        <v>575</v>
      </c>
      <c r="D388" s="17" t="s">
        <v>1137</v>
      </c>
      <c r="E388" s="17" t="s">
        <v>59</v>
      </c>
      <c r="F388" s="17" t="s">
        <v>1138</v>
      </c>
      <c r="G388" s="17" t="s">
        <v>344</v>
      </c>
      <c r="H388" s="17" t="s">
        <v>331</v>
      </c>
      <c r="I388" s="17" t="s">
        <v>91</v>
      </c>
      <c r="J388" s="17" t="s">
        <v>539</v>
      </c>
    </row>
    <row r="389" customFormat="false" ht="15" hidden="false" customHeight="true" outlineLevel="0" collapsed="false">
      <c r="A389" s="17" t="n">
        <v>1139</v>
      </c>
      <c r="B389" s="17" t="s">
        <v>540</v>
      </c>
      <c r="C389" s="17" t="s">
        <v>653</v>
      </c>
      <c r="D389" s="17" t="s">
        <v>1139</v>
      </c>
      <c r="E389" s="17" t="s">
        <v>59</v>
      </c>
      <c r="F389" s="17" t="s">
        <v>1140</v>
      </c>
      <c r="G389" s="17" t="s">
        <v>330</v>
      </c>
      <c r="H389" s="17" t="s">
        <v>331</v>
      </c>
      <c r="I389" s="17" t="s">
        <v>91</v>
      </c>
      <c r="J389" s="17" t="s">
        <v>539</v>
      </c>
    </row>
    <row r="390" customFormat="false" ht="15" hidden="false" customHeight="true" outlineLevel="0" collapsed="false">
      <c r="A390" s="17" t="n">
        <v>772</v>
      </c>
      <c r="B390" s="17" t="s">
        <v>540</v>
      </c>
      <c r="C390" s="17" t="s">
        <v>660</v>
      </c>
      <c r="D390" s="17" t="s">
        <v>1141</v>
      </c>
      <c r="E390" s="17" t="s">
        <v>59</v>
      </c>
      <c r="F390" s="17" t="s">
        <v>1142</v>
      </c>
      <c r="G390" s="17" t="s">
        <v>330</v>
      </c>
      <c r="H390" s="17" t="s">
        <v>331</v>
      </c>
      <c r="I390" s="17" t="s">
        <v>91</v>
      </c>
      <c r="J390" s="17" t="s">
        <v>539</v>
      </c>
    </row>
    <row r="391" customFormat="false" ht="15" hidden="false" customHeight="true" outlineLevel="0" collapsed="false">
      <c r="A391" s="17" t="n">
        <v>1067</v>
      </c>
      <c r="B391" s="17" t="s">
        <v>540</v>
      </c>
      <c r="C391" s="17" t="s">
        <v>546</v>
      </c>
      <c r="D391" s="17" t="s">
        <v>1143</v>
      </c>
      <c r="E391" s="17" t="s">
        <v>59</v>
      </c>
      <c r="F391" s="17" t="s">
        <v>1142</v>
      </c>
      <c r="G391" s="17" t="s">
        <v>330</v>
      </c>
      <c r="H391" s="17" t="s">
        <v>331</v>
      </c>
      <c r="I391" s="17" t="s">
        <v>91</v>
      </c>
      <c r="J391" s="17" t="s">
        <v>539</v>
      </c>
    </row>
    <row r="392" customFormat="false" ht="15" hidden="false" customHeight="true" outlineLevel="0" collapsed="false">
      <c r="A392" s="17" t="n">
        <v>1125</v>
      </c>
      <c r="B392" s="17" t="s">
        <v>540</v>
      </c>
      <c r="C392" s="17" t="s">
        <v>653</v>
      </c>
      <c r="D392" s="17" t="s">
        <v>1144</v>
      </c>
      <c r="E392" s="17" t="s">
        <v>59</v>
      </c>
      <c r="F392" s="17" t="s">
        <v>1145</v>
      </c>
      <c r="G392" s="17" t="s">
        <v>330</v>
      </c>
      <c r="H392" s="17" t="s">
        <v>331</v>
      </c>
      <c r="I392" s="17" t="s">
        <v>91</v>
      </c>
      <c r="J392" s="17" t="s">
        <v>539</v>
      </c>
    </row>
    <row r="393" customFormat="false" ht="15" hidden="false" customHeight="true" outlineLevel="0" collapsed="false">
      <c r="A393" s="17" t="n">
        <v>1111</v>
      </c>
      <c r="B393" s="17" t="s">
        <v>540</v>
      </c>
      <c r="C393" s="17" t="s">
        <v>653</v>
      </c>
      <c r="D393" s="17" t="s">
        <v>1146</v>
      </c>
      <c r="E393" s="17" t="s">
        <v>59</v>
      </c>
      <c r="F393" s="17" t="s">
        <v>1147</v>
      </c>
      <c r="G393" s="17" t="s">
        <v>330</v>
      </c>
      <c r="H393" s="17" t="s">
        <v>331</v>
      </c>
      <c r="I393" s="17" t="s">
        <v>91</v>
      </c>
      <c r="J393" s="17" t="s">
        <v>539</v>
      </c>
    </row>
  </sheetData>
  <autoFilter ref="A1:J393"/>
  <dataValidations count="1">
    <dataValidation allowBlank="true" errorStyle="stop" operator="between" showDropDown="false" showErrorMessage="false" showInputMessage="false" sqref="I2:I393" type="list">
      <formula1>"To do,Done (pilot),Done,Issue,Rolled back"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8"/>
    <col collapsed="false" customWidth="true" hidden="false" outlineLevel="0" max="3" min="3" style="1" width="24"/>
    <col collapsed="false" customWidth="true" hidden="false" outlineLevel="0" max="4" min="4" style="1" width="22"/>
    <col collapsed="false" customWidth="true" hidden="false" outlineLevel="0" max="5" min="5" style="1" width="34"/>
    <col collapsed="false" customWidth="true" hidden="false" outlineLevel="0" max="6" min="6" style="1" width="13"/>
    <col collapsed="false" customWidth="true" hidden="false" outlineLevel="0" max="7" min="7" style="1" width="10"/>
    <col collapsed="false" customWidth="true" hidden="false" outlineLevel="0" max="8" min="8" style="1" width="22"/>
    <col collapsed="false" customWidth="true" hidden="false" outlineLevel="0" max="10" min="9" style="1" width="60"/>
  </cols>
  <sheetData>
    <row r="1" customFormat="false" ht="15" hidden="false" customHeight="true" outlineLevel="0" collapsed="false">
      <c r="A1" s="4" t="s">
        <v>1148</v>
      </c>
      <c r="B1" s="4" t="s">
        <v>1149</v>
      </c>
      <c r="C1" s="4" t="s">
        <v>1150</v>
      </c>
      <c r="D1" s="4" t="s">
        <v>1151</v>
      </c>
      <c r="E1" s="4" t="s">
        <v>1152</v>
      </c>
      <c r="F1" s="4" t="s">
        <v>1153</v>
      </c>
      <c r="G1" s="4" t="s">
        <v>1154</v>
      </c>
      <c r="H1" s="4" t="s">
        <v>1155</v>
      </c>
      <c r="I1" s="4" t="s">
        <v>1156</v>
      </c>
      <c r="J1" s="4" t="s">
        <v>1157</v>
      </c>
    </row>
    <row r="2" customFormat="false" ht="15" hidden="false" customHeight="true" outlineLevel="0" collapsed="false">
      <c r="A2" s="19" t="s">
        <v>219</v>
      </c>
      <c r="B2" s="19" t="s">
        <v>1158</v>
      </c>
      <c r="C2" s="19" t="s">
        <v>1159</v>
      </c>
      <c r="D2" s="19" t="s">
        <v>1160</v>
      </c>
      <c r="E2" s="19" t="s">
        <v>1161</v>
      </c>
      <c r="F2" s="19" t="s">
        <v>1161</v>
      </c>
      <c r="G2" s="19" t="s">
        <v>1161</v>
      </c>
      <c r="H2" s="19" t="s">
        <v>1162</v>
      </c>
      <c r="I2" s="7" t="s">
        <v>1163</v>
      </c>
      <c r="J2" s="20" t="s">
        <v>1164</v>
      </c>
    </row>
    <row r="3" customFormat="false" ht="15" hidden="false" customHeight="true" outlineLevel="0" collapsed="false">
      <c r="A3" s="19" t="s">
        <v>95</v>
      </c>
      <c r="B3" s="19" t="s">
        <v>1165</v>
      </c>
      <c r="C3" s="19" t="s">
        <v>1166</v>
      </c>
      <c r="D3" s="19" t="s">
        <v>1167</v>
      </c>
      <c r="E3" s="19" t="s">
        <v>1168</v>
      </c>
      <c r="F3" s="19" t="n">
        <f aca="false">COUNTIF('200V Devices'!E2:E393,A3)</f>
        <v>93</v>
      </c>
      <c r="G3" s="19" t="n">
        <f aca="false">COUNTIFS('200V Devices'!E2:E393,A3,'200V Devices'!I2:I393,"To do")</f>
        <v>0</v>
      </c>
      <c r="H3" s="19" t="s">
        <v>1169</v>
      </c>
      <c r="I3" s="7" t="s">
        <v>1170</v>
      </c>
      <c r="J3" s="7" t="s">
        <v>1171</v>
      </c>
    </row>
    <row r="4" customFormat="false" ht="15" hidden="false" customHeight="true" outlineLevel="0" collapsed="false">
      <c r="A4" s="19" t="s">
        <v>135</v>
      </c>
      <c r="B4" s="19" t="s">
        <v>1165</v>
      </c>
      <c r="C4" s="19" t="s">
        <v>1166</v>
      </c>
      <c r="D4" s="19" t="s">
        <v>1172</v>
      </c>
      <c r="E4" s="19" t="s">
        <v>1173</v>
      </c>
      <c r="F4" s="19" t="n">
        <f aca="false">COUNTIF('200V Devices'!E2:E393,A4)</f>
        <v>110</v>
      </c>
      <c r="G4" s="19" t="n">
        <f aca="false">COUNTIFS('200V Devices'!E2:E393,A4,'200V Devices'!I2:I393,"To do")</f>
        <v>0</v>
      </c>
      <c r="H4" s="19" t="s">
        <v>1174</v>
      </c>
      <c r="I4" s="7" t="s">
        <v>1175</v>
      </c>
      <c r="J4" s="7" t="s">
        <v>1176</v>
      </c>
    </row>
    <row r="5" customFormat="false" ht="15" hidden="false" customHeight="true" outlineLevel="0" collapsed="false">
      <c r="A5" s="19" t="s">
        <v>59</v>
      </c>
      <c r="B5" s="19" t="s">
        <v>1165</v>
      </c>
      <c r="C5" s="19" t="s">
        <v>1177</v>
      </c>
      <c r="D5" s="19" t="s">
        <v>1178</v>
      </c>
      <c r="E5" s="19" t="s">
        <v>1179</v>
      </c>
      <c r="F5" s="19" t="n">
        <f aca="false">COUNTIF('200V Devices'!E2:E393,A5)</f>
        <v>167</v>
      </c>
      <c r="G5" s="19" t="n">
        <f aca="false">COUNTIFS('200V Devices'!E2:E393,A5,'200V Devices'!I2:I393,"To do")</f>
        <v>0</v>
      </c>
      <c r="H5" s="19" t="s">
        <v>1180</v>
      </c>
      <c r="I5" s="7" t="s">
        <v>1181</v>
      </c>
      <c r="J5" s="7" t="s">
        <v>1182</v>
      </c>
    </row>
    <row r="6" customFormat="false" ht="15" hidden="false" customHeight="true" outlineLevel="0" collapsed="false">
      <c r="A6" s="19" t="s">
        <v>13</v>
      </c>
      <c r="B6" s="19" t="s">
        <v>1165</v>
      </c>
      <c r="C6" s="19" t="s">
        <v>1183</v>
      </c>
      <c r="D6" s="19" t="s">
        <v>1184</v>
      </c>
      <c r="E6" s="19" t="s">
        <v>1185</v>
      </c>
      <c r="F6" s="19" t="n">
        <f aca="false">COUNTIF('200V Devices'!E2:E393,A6)</f>
        <v>16</v>
      </c>
      <c r="G6" s="19" t="n">
        <f aca="false">COUNTIFS('200V Devices'!E2:E393,A6,'200V Devices'!I2:I393,"To do")</f>
        <v>0</v>
      </c>
      <c r="H6" s="19" t="s">
        <v>1186</v>
      </c>
      <c r="I6" s="7" t="s">
        <v>1187</v>
      </c>
      <c r="J6" s="7" t="s">
        <v>1188</v>
      </c>
    </row>
    <row r="7" customFormat="false" ht="15" hidden="false" customHeight="true" outlineLevel="0" collapsed="false">
      <c r="A7" s="19" t="s">
        <v>233</v>
      </c>
      <c r="B7" s="19" t="s">
        <v>1165</v>
      </c>
      <c r="C7" s="19" t="s">
        <v>1189</v>
      </c>
      <c r="D7" s="19" t="s">
        <v>1190</v>
      </c>
      <c r="E7" s="19" t="s">
        <v>1191</v>
      </c>
      <c r="F7" s="19" t="n">
        <f aca="false">COUNTIF('200V Devices'!E2:E393,A7)</f>
        <v>0</v>
      </c>
      <c r="G7" s="19" t="n">
        <f aca="false">COUNTIFS('200V Devices'!E2:E393,A7,'200V Devices'!I2:I393,"To do")</f>
        <v>0</v>
      </c>
      <c r="H7" s="19" t="s">
        <v>1192</v>
      </c>
      <c r="I7" s="7" t="s">
        <v>1193</v>
      </c>
      <c r="J7" s="7" t="s">
        <v>1194</v>
      </c>
    </row>
    <row r="8" customFormat="false" ht="15" hidden="false" customHeight="true" outlineLevel="0" collapsed="false">
      <c r="A8" s="19" t="s">
        <v>88</v>
      </c>
      <c r="B8" s="19" t="s">
        <v>1165</v>
      </c>
      <c r="C8" s="19" t="s">
        <v>1189</v>
      </c>
      <c r="D8" s="19" t="s">
        <v>1195</v>
      </c>
      <c r="E8" s="19" t="s">
        <v>1196</v>
      </c>
      <c r="F8" s="19" t="n">
        <f aca="false">COUNTIF('200V Devices'!E2:E393,A8)</f>
        <v>0</v>
      </c>
      <c r="G8" s="19" t="n">
        <f aca="false">COUNTIFS('200V Devices'!E2:E393,A8,'200V Devices'!I2:I393,"To do")</f>
        <v>0</v>
      </c>
      <c r="H8" s="19" t="s">
        <v>1197</v>
      </c>
      <c r="I8" s="7" t="s">
        <v>1198</v>
      </c>
      <c r="J8" s="7" t="s">
        <v>1199</v>
      </c>
    </row>
    <row r="9" customFormat="false" ht="15" hidden="false" customHeight="true" outlineLevel="0" collapsed="false">
      <c r="A9" s="19" t="s">
        <v>76</v>
      </c>
      <c r="B9" s="19" t="s">
        <v>1165</v>
      </c>
      <c r="C9" s="19" t="s">
        <v>1189</v>
      </c>
      <c r="D9" s="19" t="s">
        <v>1200</v>
      </c>
      <c r="E9" s="19" t="s">
        <v>1201</v>
      </c>
      <c r="F9" s="19" t="n">
        <f aca="false">COUNTIF('200V Devices'!E2:E393,A9)</f>
        <v>0</v>
      </c>
      <c r="G9" s="19" t="n">
        <f aca="false">COUNTIFS('200V Devices'!E2:E393,A9,'200V Devices'!I2:I393,"To do")</f>
        <v>0</v>
      </c>
      <c r="H9" s="19" t="s">
        <v>1202</v>
      </c>
      <c r="I9" s="7" t="s">
        <v>1193</v>
      </c>
      <c r="J9" s="7" t="s">
        <v>1203</v>
      </c>
    </row>
    <row r="10" customFormat="false" ht="15" hidden="false" customHeight="true" outlineLevel="0" collapsed="false">
      <c r="A10" s="19" t="s">
        <v>70</v>
      </c>
      <c r="B10" s="19" t="s">
        <v>1165</v>
      </c>
      <c r="C10" s="19" t="s">
        <v>1189</v>
      </c>
      <c r="D10" s="19" t="s">
        <v>1204</v>
      </c>
      <c r="E10" s="19" t="s">
        <v>1205</v>
      </c>
      <c r="F10" s="19" t="n">
        <f aca="false">COUNTIF('200V Devices'!E2:E393,A10)</f>
        <v>6</v>
      </c>
      <c r="G10" s="19" t="n">
        <f aca="false">COUNTIFS('200V Devices'!E2:E393,A10,'200V Devices'!I2:I393,"To do")</f>
        <v>0</v>
      </c>
      <c r="H10" s="19" t="s">
        <v>1206</v>
      </c>
      <c r="I10" s="7" t="s">
        <v>1207</v>
      </c>
      <c r="J10" s="7" t="s">
        <v>1208</v>
      </c>
    </row>
    <row r="11" customFormat="false" ht="15" hidden="false" customHeight="true" outlineLevel="0" collapsed="false">
      <c r="A11" s="21" t="s">
        <v>525</v>
      </c>
      <c r="B11" s="21"/>
      <c r="C11" s="21"/>
      <c r="D11" s="21"/>
      <c r="E11" s="21"/>
      <c r="F11" s="21" t="n">
        <f aca="false">SUM(F2:F10)</f>
        <v>392</v>
      </c>
      <c r="G11" s="21" t="n">
        <f aca="false">SUM(G2:G10)</f>
        <v>0</v>
      </c>
      <c r="H11" s="21"/>
    </row>
    <row r="13" customFormat="false" ht="15" hidden="false" customHeight="true" outlineLevel="0" collapsed="false">
      <c r="A13" s="11" t="s">
        <v>1209</v>
      </c>
    </row>
  </sheetData>
  <autoFilter ref="A1:I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
    <col collapsed="false" customWidth="true" hidden="false" outlineLevel="0" max="3" min="3" style="1" width="12"/>
    <col collapsed="false" customWidth="true" hidden="false" outlineLevel="0" max="4" min="4" style="1" width="40"/>
    <col collapsed="false" customWidth="true" hidden="false" outlineLevel="0" max="5" min="5" style="1" width="22"/>
    <col collapsed="false" customWidth="true" hidden="false" outlineLevel="0" max="6" min="6" style="1" width="10"/>
    <col collapsed="false" customWidth="true" hidden="false" outlineLevel="0" max="7" min="7" style="1" width="20"/>
    <col collapsed="false" customWidth="true" hidden="false" outlineLevel="0" max="8" min="8" style="1" width="60"/>
    <col collapsed="false" customWidth="true" hidden="false" outlineLevel="0" max="9" min="9" style="1" width="13"/>
  </cols>
  <sheetData>
    <row r="1" customFormat="false" ht="15" hidden="false" customHeight="true" outlineLevel="0" collapsed="false">
      <c r="A1" s="22" t="s">
        <v>1210</v>
      </c>
    </row>
    <row r="3" customFormat="false" ht="15" hidden="false" customHeight="true" outlineLevel="0" collapsed="false">
      <c r="A3" s="12" t="s">
        <v>4</v>
      </c>
      <c r="B3" s="12" t="s">
        <v>5</v>
      </c>
      <c r="C3" s="12" t="s">
        <v>1211</v>
      </c>
      <c r="D3" s="12" t="s">
        <v>1212</v>
      </c>
      <c r="E3" s="12" t="s">
        <v>1213</v>
      </c>
      <c r="F3" s="12" t="s">
        <v>1214</v>
      </c>
      <c r="G3" s="12" t="s">
        <v>1215</v>
      </c>
      <c r="H3" s="12" t="s">
        <v>1216</v>
      </c>
      <c r="I3" s="12" t="s">
        <v>533</v>
      </c>
    </row>
    <row r="4" customFormat="false" ht="15" hidden="false" customHeight="true" outlineLevel="0" collapsed="false">
      <c r="A4" s="1" t="s">
        <v>59</v>
      </c>
      <c r="B4" s="1" t="s">
        <v>213</v>
      </c>
      <c r="C4" s="1" t="s">
        <v>1217</v>
      </c>
      <c r="D4" s="1" t="s">
        <v>1218</v>
      </c>
      <c r="E4" s="1" t="s">
        <v>1219</v>
      </c>
      <c r="F4" s="1" t="s">
        <v>323</v>
      </c>
      <c r="I4" s="1" t="s">
        <v>1220</v>
      </c>
    </row>
    <row r="5" customFormat="false" ht="15" hidden="false" customHeight="true" outlineLevel="0" collapsed="false">
      <c r="A5" s="1" t="s">
        <v>59</v>
      </c>
      <c r="B5" s="1" t="s">
        <v>197</v>
      </c>
      <c r="C5" s="1" t="s">
        <v>1217</v>
      </c>
      <c r="D5" s="1" t="s">
        <v>1218</v>
      </c>
      <c r="E5" s="1" t="s">
        <v>1219</v>
      </c>
      <c r="F5" s="1" t="s">
        <v>323</v>
      </c>
      <c r="I5" s="1" t="s">
        <v>1220</v>
      </c>
    </row>
    <row r="6" customFormat="false" ht="15" hidden="false" customHeight="true" outlineLevel="0" collapsed="false">
      <c r="A6" s="1" t="s">
        <v>59</v>
      </c>
      <c r="B6" s="1" t="s">
        <v>89</v>
      </c>
      <c r="C6" s="1" t="s">
        <v>1217</v>
      </c>
      <c r="D6" s="1" t="s">
        <v>1218</v>
      </c>
      <c r="E6" s="1" t="s">
        <v>1219</v>
      </c>
      <c r="F6" s="1" t="s">
        <v>323</v>
      </c>
      <c r="I6" s="1" t="s">
        <v>1220</v>
      </c>
    </row>
    <row r="7" customFormat="false" ht="15" hidden="false" customHeight="true" outlineLevel="0" collapsed="false">
      <c r="A7" s="1" t="s">
        <v>59</v>
      </c>
      <c r="B7" s="1" t="s">
        <v>422</v>
      </c>
      <c r="C7" s="1" t="s">
        <v>1217</v>
      </c>
      <c r="D7" s="1" t="s">
        <v>1218</v>
      </c>
      <c r="E7" s="1" t="s">
        <v>1219</v>
      </c>
      <c r="F7" s="1" t="s">
        <v>323</v>
      </c>
      <c r="I7" s="1" t="s">
        <v>1220</v>
      </c>
    </row>
    <row r="8" customFormat="false" ht="15" hidden="false" customHeight="true" outlineLevel="0" collapsed="false">
      <c r="A8" s="1" t="s">
        <v>59</v>
      </c>
      <c r="B8" s="1" t="s">
        <v>20</v>
      </c>
      <c r="C8" s="1" t="s">
        <v>1217</v>
      </c>
      <c r="D8" s="1" t="s">
        <v>1218</v>
      </c>
      <c r="E8" s="1" t="s">
        <v>1219</v>
      </c>
      <c r="F8" s="1" t="s">
        <v>323</v>
      </c>
      <c r="I8" s="1" t="s">
        <v>1220</v>
      </c>
    </row>
    <row r="9" customFormat="false" ht="15" hidden="false" customHeight="true" outlineLevel="0" collapsed="false">
      <c r="A9" s="1" t="s">
        <v>59</v>
      </c>
      <c r="B9" s="1" t="s">
        <v>29</v>
      </c>
      <c r="C9" s="1" t="s">
        <v>1217</v>
      </c>
      <c r="D9" s="1" t="s">
        <v>1221</v>
      </c>
      <c r="E9" s="1" t="s">
        <v>1219</v>
      </c>
      <c r="F9" s="1" t="s">
        <v>323</v>
      </c>
      <c r="I9" s="1" t="s">
        <v>1220</v>
      </c>
    </row>
    <row r="10" customFormat="false" ht="15" hidden="false" customHeight="true" outlineLevel="0" collapsed="false">
      <c r="A10" s="1" t="s">
        <v>59</v>
      </c>
      <c r="B10" s="1" t="s">
        <v>32</v>
      </c>
      <c r="C10" s="1" t="s">
        <v>1217</v>
      </c>
      <c r="D10" s="1" t="s">
        <v>1221</v>
      </c>
      <c r="E10" s="1" t="s">
        <v>1219</v>
      </c>
      <c r="F10" s="1" t="s">
        <v>323</v>
      </c>
      <c r="I10" s="1" t="s">
        <v>1220</v>
      </c>
    </row>
    <row r="11" customFormat="false" ht="15" hidden="false" customHeight="true" outlineLevel="0" collapsed="false">
      <c r="A11" s="1" t="s">
        <v>59</v>
      </c>
      <c r="B11" s="1" t="s">
        <v>423</v>
      </c>
      <c r="C11" s="1" t="s">
        <v>1217</v>
      </c>
      <c r="D11" s="1" t="s">
        <v>1221</v>
      </c>
      <c r="E11" s="1" t="s">
        <v>1219</v>
      </c>
      <c r="F11" s="1" t="s">
        <v>323</v>
      </c>
      <c r="I11" s="1" t="s">
        <v>1220</v>
      </c>
    </row>
    <row r="12" customFormat="false" ht="15" hidden="false" customHeight="true" outlineLevel="0" collapsed="false">
      <c r="A12" s="1" t="s">
        <v>59</v>
      </c>
      <c r="B12" s="1" t="s">
        <v>376</v>
      </c>
      <c r="C12" s="1" t="s">
        <v>1217</v>
      </c>
      <c r="D12" s="1" t="s">
        <v>1221</v>
      </c>
      <c r="E12" s="1" t="s">
        <v>1219</v>
      </c>
      <c r="F12" s="1" t="s">
        <v>332</v>
      </c>
      <c r="G12" s="1" t="s">
        <v>1222</v>
      </c>
      <c r="I12" s="1" t="s">
        <v>1220</v>
      </c>
    </row>
    <row r="13" customFormat="false" ht="15" hidden="false" customHeight="true" outlineLevel="0" collapsed="false">
      <c r="A13" s="1" t="s">
        <v>59</v>
      </c>
      <c r="B13" s="1" t="s">
        <v>424</v>
      </c>
      <c r="C13" s="1" t="s">
        <v>1217</v>
      </c>
      <c r="D13" s="1" t="s">
        <v>1221</v>
      </c>
      <c r="E13" s="1" t="s">
        <v>1219</v>
      </c>
      <c r="F13" s="1" t="s">
        <v>323</v>
      </c>
      <c r="I13" s="1" t="s">
        <v>1220</v>
      </c>
    </row>
    <row r="14" customFormat="false" ht="15" hidden="false" customHeight="true" outlineLevel="0" collapsed="false">
      <c r="A14" s="1" t="s">
        <v>59</v>
      </c>
      <c r="B14" s="1" t="s">
        <v>328</v>
      </c>
      <c r="C14" s="1" t="s">
        <v>1217</v>
      </c>
      <c r="D14" s="1" t="s">
        <v>1221</v>
      </c>
      <c r="E14" s="1" t="s">
        <v>1219</v>
      </c>
      <c r="F14" s="1" t="s">
        <v>323</v>
      </c>
      <c r="I14" s="1" t="s">
        <v>1220</v>
      </c>
    </row>
    <row r="15" customFormat="false" ht="15" hidden="false" customHeight="true" outlineLevel="0" collapsed="false">
      <c r="A15" s="1" t="s">
        <v>59</v>
      </c>
      <c r="B15" s="1" t="s">
        <v>195</v>
      </c>
      <c r="C15" s="1" t="s">
        <v>1223</v>
      </c>
      <c r="D15" s="1" t="s">
        <v>1224</v>
      </c>
      <c r="E15" s="1" t="s">
        <v>1225</v>
      </c>
      <c r="F15" s="1" t="s">
        <v>323</v>
      </c>
      <c r="I15" s="1" t="s">
        <v>1220</v>
      </c>
    </row>
    <row r="16" customFormat="false" ht="15" hidden="false" customHeight="true" outlineLevel="0" collapsed="false">
      <c r="A16" s="1" t="s">
        <v>59</v>
      </c>
      <c r="B16" s="1" t="s">
        <v>426</v>
      </c>
      <c r="C16" s="1" t="s">
        <v>1217</v>
      </c>
      <c r="D16" s="1" t="s">
        <v>1221</v>
      </c>
      <c r="E16" s="1" t="s">
        <v>1219</v>
      </c>
      <c r="F16" s="1" t="s">
        <v>323</v>
      </c>
      <c r="I16" s="1" t="s">
        <v>1220</v>
      </c>
    </row>
    <row r="17" customFormat="false" ht="15" hidden="false" customHeight="true" outlineLevel="0" collapsed="false">
      <c r="A17" s="1" t="s">
        <v>59</v>
      </c>
      <c r="B17" s="1" t="s">
        <v>427</v>
      </c>
      <c r="C17" s="1" t="s">
        <v>1217</v>
      </c>
      <c r="D17" s="1" t="s">
        <v>1221</v>
      </c>
      <c r="E17" s="1" t="s">
        <v>1219</v>
      </c>
      <c r="F17" s="1" t="s">
        <v>323</v>
      </c>
      <c r="I17" s="1" t="s">
        <v>1220</v>
      </c>
    </row>
    <row r="18" customFormat="false" ht="15" hidden="false" customHeight="true" outlineLevel="0" collapsed="false">
      <c r="A18" s="1" t="s">
        <v>59</v>
      </c>
      <c r="B18" s="1" t="s">
        <v>428</v>
      </c>
      <c r="C18" s="1" t="s">
        <v>1217</v>
      </c>
      <c r="D18" s="1" t="s">
        <v>1221</v>
      </c>
      <c r="E18" s="1" t="s">
        <v>1219</v>
      </c>
      <c r="F18" s="1" t="s">
        <v>323</v>
      </c>
      <c r="I18" s="1" t="s">
        <v>1220</v>
      </c>
    </row>
    <row r="19" customFormat="false" ht="15" hidden="false" customHeight="true" outlineLevel="0" collapsed="false">
      <c r="A19" s="1" t="s">
        <v>59</v>
      </c>
      <c r="B19" s="1" t="s">
        <v>429</v>
      </c>
      <c r="C19" s="1" t="s">
        <v>1217</v>
      </c>
      <c r="D19" s="1" t="s">
        <v>1221</v>
      </c>
      <c r="E19" s="1" t="s">
        <v>1219</v>
      </c>
      <c r="F19" s="1" t="s">
        <v>332</v>
      </c>
      <c r="G19" s="1" t="s">
        <v>1226</v>
      </c>
      <c r="I19" s="1" t="s">
        <v>1220</v>
      </c>
    </row>
    <row r="20" customFormat="false" ht="15" hidden="false" customHeight="true" outlineLevel="0" collapsed="false">
      <c r="A20" s="1" t="s">
        <v>59</v>
      </c>
      <c r="B20" s="1" t="s">
        <v>430</v>
      </c>
      <c r="C20" s="1" t="s">
        <v>1217</v>
      </c>
      <c r="D20" s="1" t="s">
        <v>1221</v>
      </c>
      <c r="E20" s="1" t="s">
        <v>1219</v>
      </c>
      <c r="F20" s="1" t="s">
        <v>323</v>
      </c>
      <c r="I20" s="1" t="s">
        <v>1220</v>
      </c>
    </row>
    <row r="21" customFormat="false" ht="15" hidden="false" customHeight="true" outlineLevel="0" collapsed="false">
      <c r="A21" s="1" t="s">
        <v>59</v>
      </c>
      <c r="B21" s="1" t="s">
        <v>431</v>
      </c>
      <c r="C21" s="1" t="s">
        <v>1217</v>
      </c>
      <c r="D21" s="1" t="s">
        <v>1227</v>
      </c>
      <c r="E21" s="1" t="s">
        <v>1219</v>
      </c>
      <c r="F21" s="1" t="s">
        <v>323</v>
      </c>
      <c r="I21" s="1" t="s">
        <v>1220</v>
      </c>
    </row>
    <row r="22" customFormat="false" ht="15" hidden="false" customHeight="true" outlineLevel="0" collapsed="false">
      <c r="A22" s="1" t="s">
        <v>59</v>
      </c>
      <c r="B22" s="1" t="s">
        <v>432</v>
      </c>
      <c r="C22" s="1" t="s">
        <v>1217</v>
      </c>
      <c r="D22" s="1" t="s">
        <v>1221</v>
      </c>
      <c r="E22" s="1" t="s">
        <v>1219</v>
      </c>
      <c r="F22" s="1" t="s">
        <v>323</v>
      </c>
      <c r="I22" s="1" t="s">
        <v>1220</v>
      </c>
    </row>
    <row r="23" customFormat="false" ht="15" hidden="false" customHeight="true" outlineLevel="0" collapsed="false">
      <c r="A23" s="1" t="s">
        <v>59</v>
      </c>
      <c r="B23" s="1" t="s">
        <v>433</v>
      </c>
      <c r="C23" s="1" t="s">
        <v>1217</v>
      </c>
      <c r="D23" s="1" t="s">
        <v>1228</v>
      </c>
      <c r="E23" s="1" t="s">
        <v>1219</v>
      </c>
      <c r="F23" s="1" t="s">
        <v>323</v>
      </c>
      <c r="I23" s="1" t="s">
        <v>1220</v>
      </c>
    </row>
    <row r="24" customFormat="false" ht="15" hidden="false" customHeight="true" outlineLevel="0" collapsed="false">
      <c r="A24" s="1" t="s">
        <v>59</v>
      </c>
      <c r="B24" s="1" t="s">
        <v>96</v>
      </c>
      <c r="C24" s="1" t="s">
        <v>1217</v>
      </c>
      <c r="E24" s="1" t="s">
        <v>1219</v>
      </c>
      <c r="F24" s="1" t="s">
        <v>323</v>
      </c>
      <c r="I24" s="1" t="s">
        <v>1220</v>
      </c>
    </row>
    <row r="25" customFormat="false" ht="15" hidden="false" customHeight="true" outlineLevel="0" collapsed="false">
      <c r="A25" s="1" t="s">
        <v>59</v>
      </c>
      <c r="B25" s="1" t="s">
        <v>434</v>
      </c>
      <c r="C25" s="1" t="s">
        <v>1217</v>
      </c>
      <c r="E25" s="1" t="s">
        <v>1219</v>
      </c>
      <c r="F25" s="1" t="s">
        <v>323</v>
      </c>
      <c r="I25" s="1" t="s">
        <v>1220</v>
      </c>
    </row>
    <row r="26" customFormat="false" ht="15" hidden="false" customHeight="true" outlineLevel="0" collapsed="false">
      <c r="A26" s="1" t="s">
        <v>59</v>
      </c>
      <c r="B26" s="1" t="s">
        <v>435</v>
      </c>
      <c r="C26" s="1" t="s">
        <v>1217</v>
      </c>
      <c r="E26" s="1" t="s">
        <v>1219</v>
      </c>
      <c r="F26" s="1" t="s">
        <v>323</v>
      </c>
      <c r="I26" s="1" t="s">
        <v>1220</v>
      </c>
    </row>
    <row r="27" customFormat="false" ht="15" hidden="false" customHeight="true" outlineLevel="0" collapsed="false">
      <c r="A27" s="1" t="s">
        <v>59</v>
      </c>
      <c r="B27" s="1" t="s">
        <v>436</v>
      </c>
      <c r="C27" s="1" t="s">
        <v>1217</v>
      </c>
      <c r="E27" s="1" t="s">
        <v>1219</v>
      </c>
      <c r="F27" s="1" t="s">
        <v>332</v>
      </c>
      <c r="G27" s="1" t="s">
        <v>1229</v>
      </c>
      <c r="I27" s="1" t="s">
        <v>1220</v>
      </c>
    </row>
    <row r="28" customFormat="false" ht="15" hidden="false" customHeight="true" outlineLevel="0" collapsed="false">
      <c r="A28" s="1" t="s">
        <v>59</v>
      </c>
      <c r="B28" s="1" t="s">
        <v>437</v>
      </c>
      <c r="C28" s="1" t="s">
        <v>1217</v>
      </c>
      <c r="E28" s="1" t="s">
        <v>1219</v>
      </c>
      <c r="F28" s="1" t="s">
        <v>323</v>
      </c>
      <c r="I28" s="1" t="s">
        <v>1220</v>
      </c>
    </row>
    <row r="29" customFormat="false" ht="15" hidden="false" customHeight="true" outlineLevel="0" collapsed="false">
      <c r="A29" s="1" t="s">
        <v>59</v>
      </c>
      <c r="B29" s="1" t="s">
        <v>190</v>
      </c>
      <c r="C29" s="1" t="s">
        <v>1217</v>
      </c>
      <c r="E29" s="1" t="s">
        <v>1219</v>
      </c>
      <c r="F29" s="1" t="s">
        <v>323</v>
      </c>
      <c r="I29" s="1" t="s">
        <v>1220</v>
      </c>
    </row>
    <row r="30" customFormat="false" ht="15" hidden="false" customHeight="true" outlineLevel="0" collapsed="false">
      <c r="A30" s="1" t="s">
        <v>59</v>
      </c>
      <c r="B30" s="1" t="s">
        <v>438</v>
      </c>
      <c r="C30" s="1" t="s">
        <v>1217</v>
      </c>
      <c r="E30" s="1" t="s">
        <v>1219</v>
      </c>
      <c r="F30" s="1" t="s">
        <v>323</v>
      </c>
      <c r="I30" s="1" t="s">
        <v>1220</v>
      </c>
    </row>
    <row r="31" customFormat="false" ht="15" hidden="false" customHeight="true" outlineLevel="0" collapsed="false">
      <c r="A31" s="1" t="s">
        <v>59</v>
      </c>
      <c r="B31" s="1" t="s">
        <v>439</v>
      </c>
      <c r="C31" s="1" t="s">
        <v>1217</v>
      </c>
      <c r="E31" s="1" t="s">
        <v>1219</v>
      </c>
      <c r="F31" s="1" t="s">
        <v>323</v>
      </c>
      <c r="I31" s="1" t="s">
        <v>1220</v>
      </c>
    </row>
    <row r="32" customFormat="false" ht="15" hidden="false" customHeight="true" outlineLevel="0" collapsed="false">
      <c r="A32" s="1" t="s">
        <v>59</v>
      </c>
      <c r="B32" s="1" t="s">
        <v>440</v>
      </c>
      <c r="C32" s="1" t="s">
        <v>1217</v>
      </c>
      <c r="E32" s="1" t="s">
        <v>1219</v>
      </c>
      <c r="F32" s="1" t="s">
        <v>323</v>
      </c>
      <c r="I32" s="1" t="s">
        <v>1220</v>
      </c>
    </row>
    <row r="33" customFormat="false" ht="15" hidden="false" customHeight="true" outlineLevel="0" collapsed="false">
      <c r="A33" s="1" t="s">
        <v>59</v>
      </c>
      <c r="B33" s="1" t="s">
        <v>441</v>
      </c>
      <c r="C33" s="1" t="s">
        <v>1217</v>
      </c>
      <c r="E33" s="1" t="s">
        <v>1219</v>
      </c>
      <c r="F33" s="1" t="s">
        <v>323</v>
      </c>
      <c r="I33" s="1" t="s">
        <v>1220</v>
      </c>
    </row>
    <row r="34" customFormat="false" ht="15" hidden="false" customHeight="true" outlineLevel="0" collapsed="false">
      <c r="A34" s="1" t="s">
        <v>59</v>
      </c>
      <c r="B34" s="1" t="s">
        <v>442</v>
      </c>
      <c r="C34" s="1" t="s">
        <v>1217</v>
      </c>
      <c r="E34" s="1" t="s">
        <v>1219</v>
      </c>
      <c r="F34" s="1" t="s">
        <v>323</v>
      </c>
      <c r="I34" s="1" t="s">
        <v>1220</v>
      </c>
    </row>
    <row r="35" customFormat="false" ht="15" hidden="false" customHeight="true" outlineLevel="0" collapsed="false">
      <c r="A35" s="1" t="s">
        <v>59</v>
      </c>
      <c r="B35" s="1" t="s">
        <v>443</v>
      </c>
      <c r="C35" s="1" t="s">
        <v>1217</v>
      </c>
      <c r="E35" s="1" t="s">
        <v>1219</v>
      </c>
      <c r="F35" s="1" t="s">
        <v>323</v>
      </c>
      <c r="I35" s="1" t="s">
        <v>1220</v>
      </c>
    </row>
    <row r="36" customFormat="false" ht="15" hidden="false" customHeight="true" outlineLevel="0" collapsed="false">
      <c r="A36" s="1" t="s">
        <v>59</v>
      </c>
      <c r="B36" s="1" t="s">
        <v>444</v>
      </c>
      <c r="C36" s="1" t="s">
        <v>1230</v>
      </c>
      <c r="E36" s="1" t="s">
        <v>1225</v>
      </c>
      <c r="F36" s="1" t="s">
        <v>323</v>
      </c>
      <c r="I36" s="1" t="s">
        <v>1220</v>
      </c>
    </row>
    <row r="37" customFormat="false" ht="15" hidden="false" customHeight="true" outlineLevel="0" collapsed="false">
      <c r="A37" s="1" t="s">
        <v>59</v>
      </c>
      <c r="B37" s="1" t="s">
        <v>343</v>
      </c>
      <c r="C37" s="1" t="s">
        <v>1217</v>
      </c>
      <c r="E37" s="1" t="s">
        <v>1219</v>
      </c>
      <c r="F37" s="1" t="s">
        <v>323</v>
      </c>
      <c r="I37" s="1" t="s">
        <v>1220</v>
      </c>
    </row>
    <row r="38" customFormat="false" ht="15" hidden="false" customHeight="true" outlineLevel="0" collapsed="false">
      <c r="A38" s="1" t="s">
        <v>59</v>
      </c>
      <c r="B38" s="1" t="s">
        <v>386</v>
      </c>
      <c r="C38" s="1" t="s">
        <v>1217</v>
      </c>
      <c r="E38" s="1" t="s">
        <v>1219</v>
      </c>
      <c r="F38" s="1" t="s">
        <v>323</v>
      </c>
      <c r="I38" s="1" t="s">
        <v>1220</v>
      </c>
    </row>
    <row r="39" customFormat="false" ht="15" hidden="false" customHeight="true" outlineLevel="0" collapsed="false">
      <c r="A39" s="1" t="s">
        <v>59</v>
      </c>
      <c r="B39" s="1" t="s">
        <v>105</v>
      </c>
      <c r="C39" s="1" t="s">
        <v>1217</v>
      </c>
      <c r="E39" s="1" t="s">
        <v>1219</v>
      </c>
      <c r="F39" s="1" t="s">
        <v>323</v>
      </c>
      <c r="I39" s="1" t="s">
        <v>1220</v>
      </c>
    </row>
    <row r="40" customFormat="false" ht="15" hidden="false" customHeight="true" outlineLevel="0" collapsed="false">
      <c r="A40" s="1" t="s">
        <v>59</v>
      </c>
      <c r="B40" s="1" t="s">
        <v>445</v>
      </c>
      <c r="C40" s="1" t="s">
        <v>1217</v>
      </c>
      <c r="E40" s="1" t="s">
        <v>1219</v>
      </c>
      <c r="F40" s="1" t="s">
        <v>332</v>
      </c>
      <c r="G40" s="1" t="s">
        <v>1231</v>
      </c>
      <c r="I40" s="1" t="s">
        <v>1220</v>
      </c>
    </row>
    <row r="41" customFormat="false" ht="15" hidden="false" customHeight="true" outlineLevel="0" collapsed="false">
      <c r="A41" s="1" t="s">
        <v>59</v>
      </c>
      <c r="B41" s="1" t="s">
        <v>143</v>
      </c>
      <c r="C41" s="1" t="s">
        <v>1217</v>
      </c>
      <c r="E41" s="1" t="s">
        <v>1219</v>
      </c>
      <c r="F41" s="1" t="s">
        <v>332</v>
      </c>
      <c r="G41" s="1" t="s">
        <v>1232</v>
      </c>
      <c r="I41" s="1" t="s">
        <v>1220</v>
      </c>
    </row>
    <row r="42" customFormat="false" ht="15" hidden="false" customHeight="true" outlineLevel="0" collapsed="false">
      <c r="A42" s="1" t="s">
        <v>59</v>
      </c>
      <c r="B42" s="1" t="s">
        <v>446</v>
      </c>
      <c r="C42" s="1" t="s">
        <v>1217</v>
      </c>
      <c r="E42" s="1" t="s">
        <v>1219</v>
      </c>
      <c r="F42" s="1" t="s">
        <v>323</v>
      </c>
      <c r="I42" s="1" t="s">
        <v>1220</v>
      </c>
    </row>
    <row r="43" customFormat="false" ht="15" hidden="false" customHeight="true" outlineLevel="0" collapsed="false">
      <c r="A43" s="1" t="s">
        <v>59</v>
      </c>
      <c r="B43" s="1" t="s">
        <v>388</v>
      </c>
      <c r="C43" s="1" t="s">
        <v>1217</v>
      </c>
      <c r="E43" s="1" t="s">
        <v>1219</v>
      </c>
      <c r="F43" s="1" t="s">
        <v>323</v>
      </c>
      <c r="I43" s="1" t="s">
        <v>1220</v>
      </c>
    </row>
    <row r="44" customFormat="false" ht="15" hidden="false" customHeight="true" outlineLevel="0" collapsed="false">
      <c r="A44" s="1" t="s">
        <v>59</v>
      </c>
      <c r="B44" s="1" t="s">
        <v>346</v>
      </c>
      <c r="C44" s="1" t="s">
        <v>1217</v>
      </c>
      <c r="E44" s="1" t="s">
        <v>1219</v>
      </c>
      <c r="F44" s="1" t="s">
        <v>323</v>
      </c>
      <c r="I44" s="1" t="s">
        <v>1220</v>
      </c>
    </row>
    <row r="45" customFormat="false" ht="15" hidden="false" customHeight="true" outlineLevel="0" collapsed="false">
      <c r="A45" s="1" t="s">
        <v>59</v>
      </c>
      <c r="B45" s="1" t="s">
        <v>390</v>
      </c>
      <c r="C45" s="1" t="s">
        <v>1217</v>
      </c>
      <c r="E45" s="1" t="s">
        <v>1219</v>
      </c>
      <c r="F45" s="1" t="s">
        <v>323</v>
      </c>
      <c r="I45" s="1" t="s">
        <v>1220</v>
      </c>
    </row>
    <row r="46" customFormat="false" ht="15" hidden="false" customHeight="true" outlineLevel="0" collapsed="false">
      <c r="A46" s="1" t="s">
        <v>59</v>
      </c>
      <c r="B46" s="1" t="s">
        <v>391</v>
      </c>
      <c r="C46" s="1" t="s">
        <v>1217</v>
      </c>
      <c r="E46" s="1" t="s">
        <v>1219</v>
      </c>
      <c r="F46" s="1" t="s">
        <v>332</v>
      </c>
      <c r="G46" s="1" t="s">
        <v>1233</v>
      </c>
      <c r="I46" s="1" t="s">
        <v>1220</v>
      </c>
    </row>
    <row r="47" customFormat="false" ht="15" hidden="false" customHeight="true" outlineLevel="0" collapsed="false">
      <c r="A47" s="1" t="s">
        <v>59</v>
      </c>
      <c r="B47" s="1" t="s">
        <v>447</v>
      </c>
      <c r="C47" s="1" t="s">
        <v>1217</v>
      </c>
      <c r="E47" s="1" t="s">
        <v>1219</v>
      </c>
      <c r="F47" s="1" t="s">
        <v>323</v>
      </c>
      <c r="I47" s="1" t="s">
        <v>1220</v>
      </c>
    </row>
    <row r="48" customFormat="false" ht="15" hidden="false" customHeight="true" outlineLevel="0" collapsed="false">
      <c r="A48" s="1" t="s">
        <v>59</v>
      </c>
      <c r="B48" s="1" t="s">
        <v>360</v>
      </c>
      <c r="C48" s="1" t="s">
        <v>1217</v>
      </c>
      <c r="E48" s="1" t="s">
        <v>1219</v>
      </c>
      <c r="F48" s="1" t="s">
        <v>323</v>
      </c>
      <c r="I48" s="1" t="s">
        <v>1220</v>
      </c>
    </row>
    <row r="49" customFormat="false" ht="15" hidden="false" customHeight="true" outlineLevel="0" collapsed="false">
      <c r="A49" s="1" t="s">
        <v>59</v>
      </c>
      <c r="B49" s="1" t="s">
        <v>448</v>
      </c>
      <c r="C49" s="1" t="s">
        <v>1217</v>
      </c>
      <c r="E49" s="1" t="s">
        <v>1219</v>
      </c>
      <c r="F49" s="1" t="s">
        <v>323</v>
      </c>
      <c r="I49" s="1" t="s">
        <v>1220</v>
      </c>
    </row>
    <row r="50" customFormat="false" ht="15" hidden="false" customHeight="true" outlineLevel="0" collapsed="false">
      <c r="A50" s="1" t="s">
        <v>59</v>
      </c>
      <c r="B50" s="1" t="s">
        <v>400</v>
      </c>
      <c r="C50" s="1" t="s">
        <v>1217</v>
      </c>
      <c r="E50" s="1" t="s">
        <v>1219</v>
      </c>
      <c r="F50" s="1" t="s">
        <v>323</v>
      </c>
      <c r="I50" s="1" t="s">
        <v>1220</v>
      </c>
    </row>
    <row r="51" customFormat="false" ht="15" hidden="false" customHeight="true" outlineLevel="0" collapsed="false">
      <c r="A51" s="1" t="s">
        <v>59</v>
      </c>
      <c r="B51" s="1" t="s">
        <v>449</v>
      </c>
      <c r="C51" s="1" t="s">
        <v>1217</v>
      </c>
      <c r="E51" s="1" t="s">
        <v>1219</v>
      </c>
      <c r="F51" s="1" t="s">
        <v>323</v>
      </c>
      <c r="I51" s="1" t="s">
        <v>1220</v>
      </c>
    </row>
    <row r="52" customFormat="false" ht="15" hidden="false" customHeight="true" outlineLevel="0" collapsed="false">
      <c r="A52" s="1" t="s">
        <v>59</v>
      </c>
      <c r="B52" s="1" t="s">
        <v>414</v>
      </c>
      <c r="C52" s="1" t="s">
        <v>1217</v>
      </c>
      <c r="E52" s="1" t="s">
        <v>1219</v>
      </c>
      <c r="F52" s="1" t="s">
        <v>323</v>
      </c>
      <c r="I52" s="1" t="s">
        <v>1220</v>
      </c>
    </row>
    <row r="53" customFormat="false" ht="15" hidden="false" customHeight="true" outlineLevel="0" collapsed="false">
      <c r="A53" s="1" t="s">
        <v>59</v>
      </c>
      <c r="B53" s="1" t="s">
        <v>450</v>
      </c>
      <c r="C53" s="1" t="s">
        <v>1217</v>
      </c>
      <c r="E53" s="1" t="s">
        <v>1219</v>
      </c>
      <c r="F53" s="1" t="s">
        <v>323</v>
      </c>
      <c r="I53" s="1" t="s">
        <v>1220</v>
      </c>
    </row>
    <row r="54" customFormat="false" ht="15" hidden="false" customHeight="true" outlineLevel="0" collapsed="false">
      <c r="A54" s="1" t="s">
        <v>59</v>
      </c>
      <c r="B54" s="1" t="s">
        <v>366</v>
      </c>
      <c r="C54" s="1" t="s">
        <v>1217</v>
      </c>
      <c r="E54" s="1" t="s">
        <v>1219</v>
      </c>
      <c r="F54" s="1" t="s">
        <v>323</v>
      </c>
      <c r="I54" s="1" t="s">
        <v>1220</v>
      </c>
    </row>
    <row r="55" customFormat="false" ht="15" hidden="false" customHeight="true" outlineLevel="0" collapsed="false">
      <c r="A55" s="1" t="s">
        <v>59</v>
      </c>
      <c r="B55" s="1" t="s">
        <v>367</v>
      </c>
      <c r="C55" s="1" t="s">
        <v>1217</v>
      </c>
      <c r="E55" s="1" t="s">
        <v>1219</v>
      </c>
      <c r="F55" s="1" t="s">
        <v>332</v>
      </c>
      <c r="G55" s="1" t="s">
        <v>1234</v>
      </c>
      <c r="I55" s="1" t="s">
        <v>1220</v>
      </c>
    </row>
    <row r="56" customFormat="false" ht="15" hidden="false" customHeight="true" outlineLevel="0" collapsed="false">
      <c r="A56" s="1" t="s">
        <v>59</v>
      </c>
      <c r="B56" s="1" t="s">
        <v>368</v>
      </c>
      <c r="C56" s="1" t="s">
        <v>1217</v>
      </c>
      <c r="E56" s="1" t="s">
        <v>1219</v>
      </c>
      <c r="F56" s="1" t="s">
        <v>332</v>
      </c>
      <c r="I56" s="1" t="s">
        <v>1220</v>
      </c>
    </row>
    <row r="57" customFormat="false" ht="15" hidden="false" customHeight="true" outlineLevel="0" collapsed="false">
      <c r="A57" s="1" t="s">
        <v>59</v>
      </c>
      <c r="B57" s="1" t="s">
        <v>155</v>
      </c>
      <c r="C57" s="1" t="s">
        <v>1217</v>
      </c>
      <c r="E57" s="1" t="s">
        <v>1219</v>
      </c>
      <c r="F57" s="1" t="s">
        <v>323</v>
      </c>
      <c r="I57" s="1" t="s">
        <v>1220</v>
      </c>
    </row>
    <row r="58" customFormat="false" ht="15" hidden="false" customHeight="true" outlineLevel="0" collapsed="false">
      <c r="A58" s="1" t="s">
        <v>59</v>
      </c>
      <c r="B58" s="1" t="s">
        <v>451</v>
      </c>
      <c r="C58" s="1" t="s">
        <v>1217</v>
      </c>
      <c r="E58" s="1" t="s">
        <v>1219</v>
      </c>
      <c r="F58" s="1" t="s">
        <v>323</v>
      </c>
      <c r="I58" s="1" t="s">
        <v>1220</v>
      </c>
    </row>
    <row r="59" customFormat="false" ht="15" hidden="false" customHeight="true" outlineLevel="0" collapsed="false">
      <c r="A59" s="1" t="s">
        <v>59</v>
      </c>
      <c r="B59" s="1" t="s">
        <v>452</v>
      </c>
      <c r="C59" s="1" t="s">
        <v>1217</v>
      </c>
      <c r="E59" s="1" t="s">
        <v>1219</v>
      </c>
      <c r="F59" s="1" t="s">
        <v>323</v>
      </c>
      <c r="I59" s="1" t="s">
        <v>1220</v>
      </c>
    </row>
    <row r="60" customFormat="false" ht="15" hidden="false" customHeight="true" outlineLevel="0" collapsed="false">
      <c r="A60" s="1" t="s">
        <v>59</v>
      </c>
      <c r="B60" s="1" t="s">
        <v>453</v>
      </c>
      <c r="C60" s="1" t="s">
        <v>1217</v>
      </c>
      <c r="E60" s="1" t="s">
        <v>1219</v>
      </c>
      <c r="F60" s="1" t="s">
        <v>332</v>
      </c>
      <c r="G60" s="1" t="s">
        <v>1235</v>
      </c>
      <c r="I60" s="1" t="s">
        <v>1220</v>
      </c>
    </row>
    <row r="61" customFormat="false" ht="15" hidden="false" customHeight="true" outlineLevel="0" collapsed="false">
      <c r="A61" s="1" t="s">
        <v>59</v>
      </c>
      <c r="B61" s="1" t="s">
        <v>454</v>
      </c>
      <c r="C61" s="1" t="s">
        <v>1217</v>
      </c>
      <c r="E61" s="1" t="s">
        <v>1219</v>
      </c>
      <c r="F61" s="1" t="s">
        <v>323</v>
      </c>
      <c r="I61" s="1" t="s">
        <v>1220</v>
      </c>
    </row>
    <row r="62" customFormat="false" ht="15" hidden="false" customHeight="true" outlineLevel="0" collapsed="false">
      <c r="A62" s="1" t="s">
        <v>59</v>
      </c>
      <c r="B62" s="1" t="s">
        <v>157</v>
      </c>
      <c r="C62" s="1" t="s">
        <v>1217</v>
      </c>
      <c r="E62" s="1" t="s">
        <v>1219</v>
      </c>
      <c r="F62" s="1" t="s">
        <v>323</v>
      </c>
      <c r="I62" s="1" t="s">
        <v>1220</v>
      </c>
    </row>
    <row r="63" customFormat="false" ht="15" hidden="false" customHeight="true" outlineLevel="0" collapsed="false">
      <c r="A63" s="1" t="s">
        <v>59</v>
      </c>
      <c r="B63" s="1" t="s">
        <v>369</v>
      </c>
      <c r="C63" s="1" t="s">
        <v>1217</v>
      </c>
      <c r="E63" s="1" t="s">
        <v>1219</v>
      </c>
      <c r="F63" s="1" t="s">
        <v>323</v>
      </c>
      <c r="I63" s="1" t="s">
        <v>1220</v>
      </c>
    </row>
    <row r="64" customFormat="false" ht="15" hidden="false" customHeight="true" outlineLevel="0" collapsed="false">
      <c r="A64" s="1" t="s">
        <v>59</v>
      </c>
      <c r="B64" s="1" t="s">
        <v>415</v>
      </c>
      <c r="C64" s="1" t="s">
        <v>1217</v>
      </c>
      <c r="E64" s="1" t="s">
        <v>1219</v>
      </c>
      <c r="F64" s="1" t="s">
        <v>323</v>
      </c>
      <c r="I64" s="1" t="s">
        <v>1220</v>
      </c>
    </row>
    <row r="65" customFormat="false" ht="15" hidden="false" customHeight="true" outlineLevel="0" collapsed="false">
      <c r="A65" s="1" t="s">
        <v>59</v>
      </c>
      <c r="B65" s="1" t="s">
        <v>370</v>
      </c>
      <c r="C65" s="1" t="s">
        <v>1217</v>
      </c>
      <c r="E65" s="1" t="s">
        <v>1219</v>
      </c>
      <c r="F65" s="1" t="s">
        <v>323</v>
      </c>
      <c r="I65" s="1" t="s">
        <v>1220</v>
      </c>
    </row>
    <row r="66" customFormat="false" ht="15" hidden="false" customHeight="true" outlineLevel="0" collapsed="false">
      <c r="A66" s="1" t="s">
        <v>59</v>
      </c>
      <c r="B66" s="1" t="s">
        <v>416</v>
      </c>
      <c r="C66" s="1" t="s">
        <v>1217</v>
      </c>
      <c r="E66" s="1" t="s">
        <v>1219</v>
      </c>
      <c r="F66" s="1" t="s">
        <v>323</v>
      </c>
      <c r="I66" s="1" t="s">
        <v>1220</v>
      </c>
    </row>
    <row r="67" customFormat="false" ht="15" hidden="false" customHeight="true" outlineLevel="0" collapsed="false">
      <c r="A67" s="1" t="s">
        <v>59</v>
      </c>
      <c r="B67" s="1" t="s">
        <v>455</v>
      </c>
      <c r="C67" s="1" t="s">
        <v>1217</v>
      </c>
      <c r="E67" s="1" t="s">
        <v>1219</v>
      </c>
      <c r="F67" s="1" t="s">
        <v>323</v>
      </c>
      <c r="I67" s="1" t="s">
        <v>1220</v>
      </c>
    </row>
    <row r="68" customFormat="false" ht="15" hidden="false" customHeight="true" outlineLevel="0" collapsed="false">
      <c r="A68" s="1" t="s">
        <v>59</v>
      </c>
      <c r="B68" s="1" t="s">
        <v>127</v>
      </c>
      <c r="C68" s="1" t="s">
        <v>1217</v>
      </c>
      <c r="E68" s="1" t="s">
        <v>1219</v>
      </c>
      <c r="F68" s="1" t="s">
        <v>323</v>
      </c>
      <c r="I68" s="1" t="s">
        <v>1220</v>
      </c>
    </row>
    <row r="69" customFormat="false" ht="15" hidden="false" customHeight="true" outlineLevel="0" collapsed="false">
      <c r="A69" s="1" t="s">
        <v>59</v>
      </c>
      <c r="B69" s="1" t="s">
        <v>417</v>
      </c>
      <c r="C69" s="1" t="s">
        <v>1217</v>
      </c>
      <c r="E69" s="1" t="s">
        <v>1219</v>
      </c>
      <c r="F69" s="1" t="s">
        <v>332</v>
      </c>
      <c r="G69" s="1" t="s">
        <v>1236</v>
      </c>
      <c r="I69" s="1" t="s">
        <v>1220</v>
      </c>
    </row>
    <row r="70" customFormat="false" ht="15" hidden="false" customHeight="true" outlineLevel="0" collapsed="false">
      <c r="A70" s="1" t="s">
        <v>59</v>
      </c>
      <c r="B70" s="1" t="s">
        <v>371</v>
      </c>
      <c r="C70" s="1" t="s">
        <v>1217</v>
      </c>
      <c r="E70" s="1" t="s">
        <v>1219</v>
      </c>
      <c r="F70" s="1" t="s">
        <v>323</v>
      </c>
      <c r="I70" s="1" t="s">
        <v>1220</v>
      </c>
    </row>
    <row r="71" customFormat="false" ht="15" hidden="false" customHeight="true" outlineLevel="0" collapsed="false">
      <c r="A71" s="1" t="s">
        <v>59</v>
      </c>
      <c r="B71" s="1" t="s">
        <v>159</v>
      </c>
      <c r="C71" s="1" t="s">
        <v>1217</v>
      </c>
      <c r="E71" s="1" t="s">
        <v>1219</v>
      </c>
      <c r="F71" s="1" t="s">
        <v>323</v>
      </c>
      <c r="I71" s="1" t="s">
        <v>1220</v>
      </c>
    </row>
    <row r="72" customFormat="false" ht="15" hidden="false" customHeight="true" outlineLevel="0" collapsed="false">
      <c r="A72" s="1" t="s">
        <v>59</v>
      </c>
      <c r="B72" s="1" t="s">
        <v>456</v>
      </c>
      <c r="C72" s="1" t="s">
        <v>1217</v>
      </c>
      <c r="E72" s="1" t="s">
        <v>1219</v>
      </c>
      <c r="F72" s="1" t="s">
        <v>323</v>
      </c>
      <c r="I72" s="1" t="s">
        <v>1220</v>
      </c>
    </row>
    <row r="73" customFormat="false" ht="15" hidden="false" customHeight="true" outlineLevel="0" collapsed="false">
      <c r="A73" s="1" t="s">
        <v>59</v>
      </c>
      <c r="B73" s="1" t="s">
        <v>457</v>
      </c>
      <c r="C73" s="1" t="s">
        <v>1217</v>
      </c>
      <c r="E73" s="1" t="s">
        <v>1219</v>
      </c>
      <c r="F73" s="1" t="s">
        <v>323</v>
      </c>
      <c r="I73" s="1" t="s">
        <v>1220</v>
      </c>
    </row>
    <row r="74" customFormat="false" ht="15" hidden="false" customHeight="true" outlineLevel="0" collapsed="false">
      <c r="A74" s="1" t="s">
        <v>59</v>
      </c>
      <c r="B74" s="1" t="s">
        <v>129</v>
      </c>
      <c r="C74" s="1" t="s">
        <v>1217</v>
      </c>
      <c r="E74" s="1" t="s">
        <v>1219</v>
      </c>
      <c r="F74" s="1" t="s">
        <v>323</v>
      </c>
      <c r="I74" s="1" t="s">
        <v>1220</v>
      </c>
    </row>
    <row r="75" customFormat="false" ht="15" hidden="false" customHeight="true" outlineLevel="0" collapsed="false">
      <c r="A75" s="1" t="s">
        <v>59</v>
      </c>
      <c r="B75" s="1" t="s">
        <v>458</v>
      </c>
      <c r="C75" s="1" t="s">
        <v>1217</v>
      </c>
      <c r="E75" s="1" t="s">
        <v>1219</v>
      </c>
      <c r="F75" s="1" t="s">
        <v>323</v>
      </c>
      <c r="I75" s="1" t="s">
        <v>1220</v>
      </c>
    </row>
    <row r="76" customFormat="false" ht="15" hidden="false" customHeight="true" outlineLevel="0" collapsed="false">
      <c r="A76" s="1" t="s">
        <v>59</v>
      </c>
      <c r="B76" s="1" t="s">
        <v>131</v>
      </c>
      <c r="C76" s="1" t="s">
        <v>1217</v>
      </c>
      <c r="E76" s="1" t="s">
        <v>1219</v>
      </c>
      <c r="F76" s="1" t="s">
        <v>323</v>
      </c>
      <c r="I76" s="1" t="s">
        <v>1220</v>
      </c>
    </row>
    <row r="77" customFormat="false" ht="15" hidden="false" customHeight="true" outlineLevel="0" collapsed="false">
      <c r="A77" s="1" t="s">
        <v>59</v>
      </c>
      <c r="B77" s="1" t="s">
        <v>459</v>
      </c>
      <c r="C77" s="1" t="s">
        <v>1217</v>
      </c>
      <c r="E77" s="1" t="s">
        <v>1219</v>
      </c>
      <c r="F77" s="1" t="s">
        <v>323</v>
      </c>
      <c r="I77" s="1" t="s">
        <v>1220</v>
      </c>
    </row>
    <row r="78" customFormat="false" ht="15" hidden="false" customHeight="true" outlineLevel="0" collapsed="false">
      <c r="A78" s="1" t="s">
        <v>59</v>
      </c>
      <c r="B78" s="1" t="s">
        <v>460</v>
      </c>
      <c r="C78" s="1" t="s">
        <v>1217</v>
      </c>
      <c r="E78" s="1" t="s">
        <v>1219</v>
      </c>
      <c r="F78" s="1" t="s">
        <v>323</v>
      </c>
      <c r="I78" s="1" t="s">
        <v>1220</v>
      </c>
    </row>
    <row r="79" customFormat="false" ht="15" hidden="false" customHeight="true" outlineLevel="0" collapsed="false">
      <c r="A79" s="1" t="s">
        <v>59</v>
      </c>
      <c r="B79" s="1" t="s">
        <v>161</v>
      </c>
      <c r="C79" s="1" t="s">
        <v>1217</v>
      </c>
      <c r="E79" s="1" t="s">
        <v>1219</v>
      </c>
      <c r="F79" s="1" t="s">
        <v>323</v>
      </c>
      <c r="I79" s="1" t="s">
        <v>1220</v>
      </c>
    </row>
    <row r="80" customFormat="false" ht="15" hidden="false" customHeight="true" outlineLevel="0" collapsed="false">
      <c r="A80" s="1" t="s">
        <v>59</v>
      </c>
      <c r="B80" s="1" t="s">
        <v>461</v>
      </c>
      <c r="C80" s="1" t="s">
        <v>1217</v>
      </c>
      <c r="E80" s="1" t="s">
        <v>1219</v>
      </c>
      <c r="F80" s="1" t="s">
        <v>323</v>
      </c>
      <c r="I80" s="1" t="s">
        <v>1220</v>
      </c>
    </row>
    <row r="81" customFormat="false" ht="15" hidden="false" customHeight="true" outlineLevel="0" collapsed="false">
      <c r="A81" s="1" t="s">
        <v>59</v>
      </c>
      <c r="B81" s="1" t="s">
        <v>372</v>
      </c>
      <c r="C81" s="1" t="s">
        <v>1217</v>
      </c>
      <c r="E81" s="1" t="s">
        <v>1219</v>
      </c>
      <c r="F81" s="1" t="s">
        <v>323</v>
      </c>
      <c r="I81" s="1" t="s">
        <v>1220</v>
      </c>
    </row>
    <row r="82" customFormat="false" ht="15" hidden="false" customHeight="true" outlineLevel="0" collapsed="false">
      <c r="A82" s="1" t="s">
        <v>59</v>
      </c>
      <c r="B82" s="1" t="s">
        <v>462</v>
      </c>
      <c r="C82" s="1" t="s">
        <v>1217</v>
      </c>
      <c r="E82" s="1" t="s">
        <v>1219</v>
      </c>
      <c r="F82" s="1" t="s">
        <v>323</v>
      </c>
      <c r="I82" s="1" t="s">
        <v>1220</v>
      </c>
    </row>
    <row r="83" customFormat="false" ht="15" hidden="false" customHeight="true" outlineLevel="0" collapsed="false">
      <c r="A83" s="1" t="s">
        <v>59</v>
      </c>
      <c r="B83" s="1" t="s">
        <v>196</v>
      </c>
      <c r="C83" s="1" t="s">
        <v>1223</v>
      </c>
      <c r="D83" s="1" t="s">
        <v>1237</v>
      </c>
      <c r="E83" s="1" t="s">
        <v>1225</v>
      </c>
      <c r="F83" s="1" t="s">
        <v>323</v>
      </c>
      <c r="I83" s="1" t="s">
        <v>1220</v>
      </c>
    </row>
    <row r="84" customFormat="false" ht="15" hidden="false" customHeight="true" outlineLevel="0" collapsed="false">
      <c r="A84" s="1" t="s">
        <v>59</v>
      </c>
      <c r="B84" s="1" t="s">
        <v>464</v>
      </c>
      <c r="C84" s="1" t="s">
        <v>1217</v>
      </c>
      <c r="E84" s="1" t="s">
        <v>1219</v>
      </c>
      <c r="F84" s="1" t="s">
        <v>323</v>
      </c>
      <c r="I84" s="1" t="s">
        <v>1220</v>
      </c>
    </row>
    <row r="85" customFormat="false" ht="15" hidden="false" customHeight="true" outlineLevel="0" collapsed="false">
      <c r="A85" s="1" t="s">
        <v>59</v>
      </c>
      <c r="B85" s="1" t="s">
        <v>277</v>
      </c>
      <c r="C85" s="1" t="s">
        <v>1230</v>
      </c>
      <c r="E85" s="1" t="s">
        <v>1225</v>
      </c>
      <c r="F85" s="1" t="s">
        <v>323</v>
      </c>
      <c r="I85" s="1" t="s">
        <v>1220</v>
      </c>
    </row>
    <row r="86" customFormat="false" ht="15" hidden="false" customHeight="true" outlineLevel="0" collapsed="false">
      <c r="A86" s="1" t="s">
        <v>59</v>
      </c>
      <c r="B86" s="1" t="s">
        <v>279</v>
      </c>
      <c r="C86" s="1" t="s">
        <v>1217</v>
      </c>
      <c r="E86" s="1" t="s">
        <v>1219</v>
      </c>
      <c r="F86" s="1" t="s">
        <v>323</v>
      </c>
      <c r="I86" s="1" t="s">
        <v>1220</v>
      </c>
    </row>
    <row r="87" customFormat="false" ht="15" hidden="false" customHeight="true" outlineLevel="0" collapsed="false">
      <c r="A87" s="1" t="s">
        <v>59</v>
      </c>
      <c r="B87" s="1" t="s">
        <v>419</v>
      </c>
      <c r="C87" s="1" t="s">
        <v>1217</v>
      </c>
      <c r="E87" s="1" t="s">
        <v>1219</v>
      </c>
      <c r="F87" s="1" t="s">
        <v>323</v>
      </c>
      <c r="I87" s="1" t="s">
        <v>1220</v>
      </c>
    </row>
    <row r="88" customFormat="false" ht="15" hidden="false" customHeight="true" outlineLevel="0" collapsed="false">
      <c r="A88" s="1" t="s">
        <v>59</v>
      </c>
      <c r="B88" s="1" t="s">
        <v>465</v>
      </c>
      <c r="C88" s="1" t="s">
        <v>1217</v>
      </c>
      <c r="E88" s="1" t="s">
        <v>1219</v>
      </c>
      <c r="F88" s="1" t="s">
        <v>332</v>
      </c>
      <c r="G88" s="1" t="s">
        <v>1238</v>
      </c>
      <c r="I88" s="1" t="s">
        <v>1220</v>
      </c>
    </row>
    <row r="89" customFormat="false" ht="15" hidden="false" customHeight="true" outlineLevel="0" collapsed="false">
      <c r="A89" s="1" t="s">
        <v>59</v>
      </c>
      <c r="B89" s="1" t="s">
        <v>373</v>
      </c>
      <c r="C89" s="1" t="s">
        <v>1217</v>
      </c>
      <c r="E89" s="1" t="s">
        <v>1219</v>
      </c>
      <c r="F89" s="1" t="s">
        <v>323</v>
      </c>
      <c r="I89" s="1" t="s">
        <v>1220</v>
      </c>
    </row>
    <row r="90" customFormat="false" ht="15" hidden="false" customHeight="true" outlineLevel="0" collapsed="false">
      <c r="A90" s="1" t="s">
        <v>59</v>
      </c>
      <c r="B90" s="1" t="s">
        <v>466</v>
      </c>
      <c r="C90" s="1" t="s">
        <v>1217</v>
      </c>
      <c r="E90" s="1" t="s">
        <v>1219</v>
      </c>
      <c r="F90" s="1" t="s">
        <v>332</v>
      </c>
      <c r="G90" s="1" t="s">
        <v>1239</v>
      </c>
      <c r="I90" s="1" t="s">
        <v>1220</v>
      </c>
    </row>
    <row r="91" customFormat="false" ht="15" hidden="false" customHeight="true" outlineLevel="0" collapsed="false">
      <c r="A91" s="1" t="s">
        <v>59</v>
      </c>
      <c r="B91" s="1" t="s">
        <v>133</v>
      </c>
      <c r="C91" s="1" t="s">
        <v>1217</v>
      </c>
      <c r="E91" s="1" t="s">
        <v>1219</v>
      </c>
      <c r="F91" s="1" t="s">
        <v>323</v>
      </c>
      <c r="I91" s="1" t="s">
        <v>1220</v>
      </c>
    </row>
    <row r="92" customFormat="false" ht="15" hidden="false" customHeight="true" outlineLevel="0" collapsed="false">
      <c r="A92" s="1" t="s">
        <v>59</v>
      </c>
      <c r="B92" s="1" t="s">
        <v>467</v>
      </c>
      <c r="C92" s="1" t="s">
        <v>1217</v>
      </c>
      <c r="E92" s="1" t="s">
        <v>1219</v>
      </c>
      <c r="F92" s="1" t="s">
        <v>323</v>
      </c>
      <c r="I92" s="1" t="s">
        <v>1220</v>
      </c>
    </row>
    <row r="93" customFormat="false" ht="15" hidden="false" customHeight="true" outlineLevel="0" collapsed="false">
      <c r="A93" s="1" t="s">
        <v>59</v>
      </c>
      <c r="B93" s="1" t="s">
        <v>420</v>
      </c>
      <c r="C93" s="1" t="s">
        <v>1217</v>
      </c>
      <c r="E93" s="1" t="s">
        <v>1219</v>
      </c>
      <c r="F93" s="1" t="s">
        <v>323</v>
      </c>
      <c r="I93" s="1" t="s">
        <v>1220</v>
      </c>
    </row>
    <row r="94" customFormat="false" ht="15" hidden="false" customHeight="true" outlineLevel="0" collapsed="false">
      <c r="A94" s="1" t="s">
        <v>59</v>
      </c>
      <c r="B94" s="1" t="s">
        <v>468</v>
      </c>
      <c r="C94" s="1" t="s">
        <v>1217</v>
      </c>
      <c r="E94" s="1" t="s">
        <v>1219</v>
      </c>
      <c r="F94" s="1" t="s">
        <v>323</v>
      </c>
      <c r="I94" s="1" t="s">
        <v>1220</v>
      </c>
    </row>
    <row r="95" customFormat="false" ht="15" hidden="false" customHeight="true" outlineLevel="0" collapsed="false">
      <c r="A95" s="1" t="s">
        <v>59</v>
      </c>
      <c r="B95" s="1" t="s">
        <v>469</v>
      </c>
      <c r="C95" s="1" t="s">
        <v>1217</v>
      </c>
      <c r="E95" s="1" t="s">
        <v>1219</v>
      </c>
      <c r="F95" s="1" t="s">
        <v>323</v>
      </c>
      <c r="I95" s="1" t="s">
        <v>1220</v>
      </c>
    </row>
    <row r="96" customFormat="false" ht="15" hidden="false" customHeight="true" outlineLevel="0" collapsed="false">
      <c r="A96" s="1" t="s">
        <v>59</v>
      </c>
      <c r="B96" s="1" t="s">
        <v>470</v>
      </c>
      <c r="C96" s="1" t="s">
        <v>1217</v>
      </c>
      <c r="E96" s="1" t="s">
        <v>1219</v>
      </c>
      <c r="F96" s="1" t="s">
        <v>323</v>
      </c>
      <c r="I96" s="1" t="s">
        <v>1220</v>
      </c>
    </row>
    <row r="97" customFormat="false" ht="15" hidden="false" customHeight="true" outlineLevel="0" collapsed="false">
      <c r="A97" s="1" t="s">
        <v>59</v>
      </c>
      <c r="B97" s="1" t="s">
        <v>471</v>
      </c>
      <c r="C97" s="1" t="s">
        <v>1217</v>
      </c>
      <c r="E97" s="1" t="s">
        <v>1219</v>
      </c>
      <c r="F97" s="1" t="s">
        <v>323</v>
      </c>
      <c r="I97" s="1" t="s">
        <v>1220</v>
      </c>
    </row>
    <row r="98" customFormat="false" ht="15" hidden="false" customHeight="true" outlineLevel="0" collapsed="false">
      <c r="A98" s="1" t="s">
        <v>59</v>
      </c>
      <c r="B98" s="1" t="s">
        <v>472</v>
      </c>
      <c r="C98" s="1" t="s">
        <v>1217</v>
      </c>
      <c r="E98" s="1" t="s">
        <v>1219</v>
      </c>
      <c r="F98" s="1" t="s">
        <v>323</v>
      </c>
      <c r="I98" s="1" t="s">
        <v>1220</v>
      </c>
    </row>
    <row r="99" customFormat="false" ht="15" hidden="false" customHeight="true" outlineLevel="0" collapsed="false">
      <c r="A99" s="1" t="s">
        <v>59</v>
      </c>
      <c r="B99" s="1" t="s">
        <v>473</v>
      </c>
      <c r="C99" s="1" t="s">
        <v>1217</v>
      </c>
      <c r="E99" s="1" t="s">
        <v>1219</v>
      </c>
      <c r="F99" s="1" t="s">
        <v>323</v>
      </c>
      <c r="I99" s="1" t="s">
        <v>1220</v>
      </c>
    </row>
    <row r="100" customFormat="false" ht="15" hidden="false" customHeight="true" outlineLevel="0" collapsed="false">
      <c r="A100" s="1" t="s">
        <v>59</v>
      </c>
      <c r="B100" s="1" t="s">
        <v>474</v>
      </c>
      <c r="C100" s="1" t="s">
        <v>1217</v>
      </c>
      <c r="E100" s="1" t="s">
        <v>1219</v>
      </c>
      <c r="F100" s="1" t="s">
        <v>323</v>
      </c>
      <c r="I100" s="1" t="s">
        <v>1220</v>
      </c>
    </row>
    <row r="101" customFormat="false" ht="15" hidden="false" customHeight="true" outlineLevel="0" collapsed="false">
      <c r="A101" s="1" t="s">
        <v>59</v>
      </c>
      <c r="B101" s="1" t="s">
        <v>475</v>
      </c>
      <c r="C101" s="1" t="s">
        <v>1217</v>
      </c>
      <c r="E101" s="1" t="s">
        <v>1219</v>
      </c>
      <c r="F101" s="1" t="s">
        <v>323</v>
      </c>
      <c r="I101" s="1" t="s">
        <v>1220</v>
      </c>
    </row>
    <row r="102" customFormat="false" ht="15" hidden="false" customHeight="true" outlineLevel="0" collapsed="false">
      <c r="A102" s="1" t="s">
        <v>59</v>
      </c>
      <c r="B102" s="1" t="s">
        <v>476</v>
      </c>
      <c r="C102" s="1" t="s">
        <v>1217</v>
      </c>
      <c r="E102" s="1" t="s">
        <v>1219</v>
      </c>
      <c r="F102" s="1" t="s">
        <v>323</v>
      </c>
      <c r="I102" s="1" t="s">
        <v>1220</v>
      </c>
    </row>
    <row r="103" customFormat="false" ht="15" hidden="false" customHeight="true" outlineLevel="0" collapsed="false">
      <c r="A103" s="1" t="s">
        <v>59</v>
      </c>
      <c r="B103" s="1" t="s">
        <v>477</v>
      </c>
      <c r="C103" s="1" t="s">
        <v>1217</v>
      </c>
      <c r="E103" s="1" t="s">
        <v>1219</v>
      </c>
      <c r="F103" s="1" t="s">
        <v>323</v>
      </c>
      <c r="I103" s="1" t="s">
        <v>1220</v>
      </c>
    </row>
    <row r="104" customFormat="false" ht="15" hidden="false" customHeight="true" outlineLevel="0" collapsed="false">
      <c r="A104" s="1" t="s">
        <v>59</v>
      </c>
      <c r="B104" s="1" t="s">
        <v>478</v>
      </c>
      <c r="C104" s="1" t="s">
        <v>1217</v>
      </c>
      <c r="E104" s="1" t="s">
        <v>1219</v>
      </c>
      <c r="F104" s="1" t="s">
        <v>323</v>
      </c>
      <c r="I104" s="1" t="s">
        <v>1220</v>
      </c>
    </row>
    <row r="105" customFormat="false" ht="15" hidden="false" customHeight="true" outlineLevel="0" collapsed="false">
      <c r="A105" s="1" t="s">
        <v>59</v>
      </c>
      <c r="B105" s="1" t="s">
        <v>479</v>
      </c>
      <c r="C105" s="1" t="s">
        <v>1217</v>
      </c>
      <c r="E105" s="1" t="s">
        <v>1219</v>
      </c>
      <c r="F105" s="1" t="s">
        <v>323</v>
      </c>
      <c r="I105" s="1" t="s">
        <v>1220</v>
      </c>
    </row>
    <row r="106" customFormat="false" ht="15" hidden="false" customHeight="true" outlineLevel="0" collapsed="false">
      <c r="A106" s="1" t="s">
        <v>59</v>
      </c>
      <c r="B106" s="1" t="s">
        <v>480</v>
      </c>
      <c r="C106" s="1" t="s">
        <v>1217</v>
      </c>
      <c r="E106" s="1" t="s">
        <v>1219</v>
      </c>
      <c r="F106" s="1" t="s">
        <v>323</v>
      </c>
      <c r="I106" s="1" t="s">
        <v>1220</v>
      </c>
    </row>
    <row r="107" customFormat="false" ht="15" hidden="false" customHeight="true" outlineLevel="0" collapsed="false">
      <c r="A107" s="1" t="s">
        <v>59</v>
      </c>
      <c r="B107" s="1" t="s">
        <v>481</v>
      </c>
      <c r="C107" s="1" t="s">
        <v>1217</v>
      </c>
      <c r="E107" s="1" t="s">
        <v>1219</v>
      </c>
      <c r="F107" s="1" t="s">
        <v>323</v>
      </c>
      <c r="I107" s="1" t="s">
        <v>1220</v>
      </c>
    </row>
    <row r="108" customFormat="false" ht="15" hidden="false" customHeight="true" outlineLevel="0" collapsed="false">
      <c r="A108" s="1" t="s">
        <v>59</v>
      </c>
      <c r="B108" s="1" t="s">
        <v>482</v>
      </c>
      <c r="C108" s="1" t="s">
        <v>1217</v>
      </c>
      <c r="E108" s="1" t="s">
        <v>1219</v>
      </c>
      <c r="F108" s="1" t="s">
        <v>323</v>
      </c>
      <c r="I108" s="1" t="s">
        <v>1220</v>
      </c>
    </row>
    <row r="109" customFormat="false" ht="15" hidden="false" customHeight="true" outlineLevel="0" collapsed="false">
      <c r="A109" s="1" t="s">
        <v>59</v>
      </c>
      <c r="B109" s="1" t="s">
        <v>483</v>
      </c>
      <c r="C109" s="1" t="s">
        <v>1217</v>
      </c>
      <c r="E109" s="1" t="s">
        <v>1219</v>
      </c>
      <c r="F109" s="1" t="s">
        <v>323</v>
      </c>
      <c r="I109" s="1" t="s">
        <v>1220</v>
      </c>
    </row>
    <row r="110" customFormat="false" ht="15" hidden="false" customHeight="true" outlineLevel="0" collapsed="false">
      <c r="A110" s="1" t="s">
        <v>59</v>
      </c>
      <c r="B110" s="1" t="s">
        <v>484</v>
      </c>
      <c r="C110" s="1" t="s">
        <v>1217</v>
      </c>
      <c r="E110" s="1" t="s">
        <v>1219</v>
      </c>
      <c r="F110" s="1" t="s">
        <v>323</v>
      </c>
      <c r="I110" s="1" t="s">
        <v>1220</v>
      </c>
    </row>
    <row r="111" customFormat="false" ht="15" hidden="false" customHeight="true" outlineLevel="0" collapsed="false">
      <c r="A111" s="1" t="s">
        <v>59</v>
      </c>
      <c r="B111" s="1" t="s">
        <v>485</v>
      </c>
      <c r="C111" s="1" t="s">
        <v>1230</v>
      </c>
      <c r="E111" s="1" t="s">
        <v>1225</v>
      </c>
      <c r="F111" s="1" t="s">
        <v>323</v>
      </c>
      <c r="I111" s="1" t="s">
        <v>1220</v>
      </c>
    </row>
    <row r="112" customFormat="false" ht="15" hidden="false" customHeight="true" outlineLevel="0" collapsed="false">
      <c r="A112" s="1" t="s">
        <v>59</v>
      </c>
      <c r="B112" s="1" t="s">
        <v>486</v>
      </c>
      <c r="C112" s="1" t="s">
        <v>1217</v>
      </c>
      <c r="E112" s="1" t="s">
        <v>1219</v>
      </c>
      <c r="F112" s="1" t="s">
        <v>323</v>
      </c>
      <c r="I112" s="1" t="s">
        <v>1220</v>
      </c>
    </row>
    <row r="113" customFormat="false" ht="15" hidden="false" customHeight="true" outlineLevel="0" collapsed="false">
      <c r="A113" s="1" t="s">
        <v>59</v>
      </c>
      <c r="B113" s="1" t="s">
        <v>487</v>
      </c>
      <c r="C113" s="1" t="s">
        <v>1230</v>
      </c>
      <c r="E113" s="1" t="s">
        <v>1225</v>
      </c>
      <c r="F113" s="1" t="s">
        <v>323</v>
      </c>
      <c r="I113" s="1" t="s">
        <v>1220</v>
      </c>
    </row>
    <row r="114" customFormat="false" ht="15" hidden="false" customHeight="true" outlineLevel="0" collapsed="false">
      <c r="A114" s="1" t="s">
        <v>59</v>
      </c>
      <c r="B114" s="1" t="s">
        <v>488</v>
      </c>
      <c r="C114" s="1" t="s">
        <v>1217</v>
      </c>
      <c r="E114" s="1" t="s">
        <v>1219</v>
      </c>
      <c r="F114" s="1" t="s">
        <v>323</v>
      </c>
      <c r="I114" s="1" t="s">
        <v>1220</v>
      </c>
    </row>
    <row r="115" customFormat="false" ht="15" hidden="false" customHeight="true" outlineLevel="0" collapsed="false">
      <c r="A115" s="1" t="s">
        <v>59</v>
      </c>
      <c r="B115" s="1" t="s">
        <v>489</v>
      </c>
      <c r="C115" s="1" t="s">
        <v>1230</v>
      </c>
      <c r="E115" s="1" t="s">
        <v>1225</v>
      </c>
      <c r="F115" s="1" t="s">
        <v>323</v>
      </c>
      <c r="I115" s="1" t="s">
        <v>1220</v>
      </c>
    </row>
    <row r="116" customFormat="false" ht="15" hidden="false" customHeight="true" outlineLevel="0" collapsed="false">
      <c r="A116" s="1" t="s">
        <v>59</v>
      </c>
      <c r="B116" s="1" t="s">
        <v>491</v>
      </c>
      <c r="C116" s="1" t="s">
        <v>1217</v>
      </c>
      <c r="E116" s="1" t="s">
        <v>1219</v>
      </c>
      <c r="F116" s="1" t="s">
        <v>323</v>
      </c>
      <c r="I116" s="1" t="s">
        <v>1220</v>
      </c>
    </row>
    <row r="117" customFormat="false" ht="15" hidden="false" customHeight="true" outlineLevel="0" collapsed="false">
      <c r="A117" s="1" t="s">
        <v>59</v>
      </c>
      <c r="B117" s="1" t="s">
        <v>492</v>
      </c>
      <c r="C117" s="1" t="s">
        <v>1217</v>
      </c>
      <c r="E117" s="1" t="s">
        <v>1219</v>
      </c>
      <c r="F117" s="1" t="s">
        <v>323</v>
      </c>
      <c r="I117" s="1" t="s">
        <v>1220</v>
      </c>
    </row>
    <row r="118" customFormat="false" ht="15" hidden="false" customHeight="true" outlineLevel="0" collapsed="false">
      <c r="A118" s="1" t="s">
        <v>59</v>
      </c>
      <c r="B118" s="1" t="s">
        <v>493</v>
      </c>
      <c r="C118" s="1" t="s">
        <v>1217</v>
      </c>
      <c r="E118" s="1" t="s">
        <v>1219</v>
      </c>
      <c r="F118" s="1" t="s">
        <v>323</v>
      </c>
      <c r="I118" s="1" t="s">
        <v>1220</v>
      </c>
    </row>
    <row r="119" customFormat="false" ht="15" hidden="false" customHeight="true" outlineLevel="0" collapsed="false">
      <c r="A119" s="1" t="s">
        <v>59</v>
      </c>
      <c r="B119" s="1" t="s">
        <v>494</v>
      </c>
      <c r="C119" s="1" t="s">
        <v>1217</v>
      </c>
      <c r="E119" s="1" t="s">
        <v>1219</v>
      </c>
      <c r="F119" s="1" t="s">
        <v>323</v>
      </c>
      <c r="I119" s="1" t="s">
        <v>1220</v>
      </c>
    </row>
    <row r="120" customFormat="false" ht="15" hidden="false" customHeight="true" outlineLevel="0" collapsed="false">
      <c r="A120" s="1" t="s">
        <v>59</v>
      </c>
      <c r="B120" s="1" t="s">
        <v>495</v>
      </c>
      <c r="C120" s="1" t="s">
        <v>1217</v>
      </c>
      <c r="E120" s="1" t="s">
        <v>1219</v>
      </c>
      <c r="F120" s="1" t="s">
        <v>323</v>
      </c>
      <c r="I120" s="1" t="s">
        <v>1220</v>
      </c>
    </row>
    <row r="121" customFormat="false" ht="15" hidden="false" customHeight="true" outlineLevel="0" collapsed="false">
      <c r="A121" s="1" t="s">
        <v>59</v>
      </c>
      <c r="B121" s="1" t="s">
        <v>496</v>
      </c>
      <c r="C121" s="1" t="s">
        <v>1217</v>
      </c>
      <c r="E121" s="1" t="s">
        <v>1219</v>
      </c>
      <c r="F121" s="1" t="s">
        <v>323</v>
      </c>
      <c r="I121" s="1" t="s">
        <v>1220</v>
      </c>
    </row>
    <row r="122" customFormat="false" ht="15" hidden="false" customHeight="true" outlineLevel="0" collapsed="false">
      <c r="A122" s="1" t="s">
        <v>59</v>
      </c>
      <c r="B122" s="1" t="s">
        <v>497</v>
      </c>
      <c r="C122" s="1" t="s">
        <v>1217</v>
      </c>
      <c r="E122" s="1" t="s">
        <v>1219</v>
      </c>
      <c r="F122" s="1" t="s">
        <v>323</v>
      </c>
      <c r="I122" s="1" t="s">
        <v>1220</v>
      </c>
    </row>
    <row r="123" customFormat="false" ht="15" hidden="false" customHeight="true" outlineLevel="0" collapsed="false">
      <c r="A123" s="1" t="s">
        <v>59</v>
      </c>
      <c r="B123" s="1" t="s">
        <v>498</v>
      </c>
      <c r="C123" s="1" t="s">
        <v>1217</v>
      </c>
      <c r="E123" s="1" t="s">
        <v>1219</v>
      </c>
      <c r="F123" s="1" t="s">
        <v>323</v>
      </c>
      <c r="I123" s="1" t="s">
        <v>1220</v>
      </c>
    </row>
    <row r="124" customFormat="false" ht="15" hidden="false" customHeight="true" outlineLevel="0" collapsed="false">
      <c r="A124" s="1" t="s">
        <v>59</v>
      </c>
      <c r="B124" s="1" t="s">
        <v>499</v>
      </c>
      <c r="C124" s="1" t="s">
        <v>1217</v>
      </c>
      <c r="E124" s="1" t="s">
        <v>1219</v>
      </c>
      <c r="F124" s="1" t="s">
        <v>323</v>
      </c>
      <c r="I124" s="1" t="s">
        <v>1220</v>
      </c>
    </row>
    <row r="125" customFormat="false" ht="15" hidden="false" customHeight="true" outlineLevel="0" collapsed="false">
      <c r="A125" s="1" t="s">
        <v>59</v>
      </c>
      <c r="B125" s="1" t="s">
        <v>500</v>
      </c>
      <c r="C125" s="1" t="s">
        <v>1217</v>
      </c>
      <c r="E125" s="1" t="s">
        <v>1219</v>
      </c>
      <c r="F125" s="1" t="s">
        <v>323</v>
      </c>
      <c r="I125" s="1" t="s">
        <v>1220</v>
      </c>
    </row>
    <row r="126" customFormat="false" ht="15" hidden="false" customHeight="true" outlineLevel="0" collapsed="false">
      <c r="A126" s="1" t="s">
        <v>59</v>
      </c>
      <c r="B126" s="1" t="s">
        <v>501</v>
      </c>
      <c r="C126" s="1" t="s">
        <v>1217</v>
      </c>
      <c r="E126" s="1" t="s">
        <v>1219</v>
      </c>
      <c r="F126" s="1" t="s">
        <v>323</v>
      </c>
      <c r="I126" s="1" t="s">
        <v>1220</v>
      </c>
    </row>
    <row r="127" customFormat="false" ht="15" hidden="false" customHeight="true" outlineLevel="0" collapsed="false">
      <c r="A127" s="1" t="s">
        <v>59</v>
      </c>
      <c r="B127" s="1" t="s">
        <v>502</v>
      </c>
      <c r="C127" s="1" t="s">
        <v>1230</v>
      </c>
      <c r="E127" s="1" t="s">
        <v>1225</v>
      </c>
      <c r="F127" s="1" t="s">
        <v>323</v>
      </c>
      <c r="I127" s="1" t="s">
        <v>1220</v>
      </c>
    </row>
    <row r="128" customFormat="false" ht="15" hidden="false" customHeight="true" outlineLevel="0" collapsed="false">
      <c r="A128" s="1" t="s">
        <v>59</v>
      </c>
      <c r="B128" s="1" t="s">
        <v>503</v>
      </c>
      <c r="C128" s="1" t="s">
        <v>1217</v>
      </c>
      <c r="E128" s="1" t="s">
        <v>1219</v>
      </c>
      <c r="F128" s="1" t="s">
        <v>323</v>
      </c>
      <c r="I128" s="1" t="s">
        <v>1220</v>
      </c>
    </row>
    <row r="129" customFormat="false" ht="15" hidden="false" customHeight="true" outlineLevel="0" collapsed="false">
      <c r="A129" s="1" t="s">
        <v>59</v>
      </c>
      <c r="B129" s="1" t="s">
        <v>504</v>
      </c>
      <c r="C129" s="1" t="s">
        <v>1217</v>
      </c>
      <c r="E129" s="1" t="s">
        <v>1219</v>
      </c>
      <c r="F129" s="1" t="s">
        <v>323</v>
      </c>
      <c r="I129" s="1" t="s">
        <v>1220</v>
      </c>
    </row>
    <row r="130" customFormat="false" ht="15" hidden="false" customHeight="true" outlineLevel="0" collapsed="false">
      <c r="A130" s="1" t="s">
        <v>59</v>
      </c>
      <c r="B130" s="1" t="s">
        <v>505</v>
      </c>
      <c r="C130" s="1" t="s">
        <v>1217</v>
      </c>
      <c r="E130" s="1" t="s">
        <v>1219</v>
      </c>
      <c r="F130" s="1" t="s">
        <v>323</v>
      </c>
      <c r="I130" s="1" t="s">
        <v>1220</v>
      </c>
    </row>
    <row r="131" customFormat="false" ht="15" hidden="false" customHeight="true" outlineLevel="0" collapsed="false">
      <c r="A131" s="1" t="s">
        <v>59</v>
      </c>
      <c r="B131" s="1" t="s">
        <v>506</v>
      </c>
      <c r="C131" s="1" t="s">
        <v>1217</v>
      </c>
      <c r="E131" s="1" t="s">
        <v>1219</v>
      </c>
      <c r="F131" s="1" t="s">
        <v>323</v>
      </c>
      <c r="I131" s="1" t="s">
        <v>1220</v>
      </c>
    </row>
    <row r="132" customFormat="false" ht="15" hidden="false" customHeight="true" outlineLevel="0" collapsed="false">
      <c r="A132" s="1" t="s">
        <v>59</v>
      </c>
      <c r="B132" s="1" t="s">
        <v>507</v>
      </c>
      <c r="C132" s="1" t="s">
        <v>1217</v>
      </c>
      <c r="E132" s="1" t="s">
        <v>1219</v>
      </c>
      <c r="F132" s="1" t="s">
        <v>323</v>
      </c>
      <c r="I132" s="1" t="s">
        <v>1220</v>
      </c>
    </row>
    <row r="133" customFormat="false" ht="15" hidden="false" customHeight="true" outlineLevel="0" collapsed="false">
      <c r="A133" s="1" t="s">
        <v>59</v>
      </c>
      <c r="B133" s="1" t="s">
        <v>508</v>
      </c>
      <c r="C133" s="1" t="s">
        <v>1217</v>
      </c>
      <c r="E133" s="1" t="s">
        <v>1219</v>
      </c>
      <c r="F133" s="1" t="s">
        <v>323</v>
      </c>
      <c r="I133" s="1" t="s">
        <v>1220</v>
      </c>
    </row>
    <row r="134" customFormat="false" ht="15" hidden="false" customHeight="true" outlineLevel="0" collapsed="false">
      <c r="A134" s="1" t="s">
        <v>59</v>
      </c>
      <c r="B134" s="1" t="s">
        <v>509</v>
      </c>
      <c r="C134" s="1" t="s">
        <v>1217</v>
      </c>
      <c r="E134" s="1" t="s">
        <v>1219</v>
      </c>
      <c r="F134" s="1" t="s">
        <v>323</v>
      </c>
      <c r="I134" s="1" t="s">
        <v>1220</v>
      </c>
    </row>
    <row r="135" customFormat="false" ht="15" hidden="false" customHeight="true" outlineLevel="0" collapsed="false">
      <c r="A135" s="1" t="s">
        <v>59</v>
      </c>
      <c r="B135" s="1" t="s">
        <v>510</v>
      </c>
      <c r="C135" s="1" t="s">
        <v>1217</v>
      </c>
      <c r="E135" s="1" t="s">
        <v>1219</v>
      </c>
      <c r="F135" s="1" t="s">
        <v>323</v>
      </c>
      <c r="I135" s="1" t="s">
        <v>1220</v>
      </c>
    </row>
    <row r="136" customFormat="false" ht="15" hidden="false" customHeight="true" outlineLevel="0" collapsed="false">
      <c r="A136" s="1" t="s">
        <v>59</v>
      </c>
      <c r="B136" s="1" t="s">
        <v>511</v>
      </c>
      <c r="C136" s="1" t="s">
        <v>1217</v>
      </c>
      <c r="E136" s="1" t="s">
        <v>1219</v>
      </c>
      <c r="F136" s="1" t="s">
        <v>323</v>
      </c>
      <c r="I136" s="1" t="s">
        <v>1220</v>
      </c>
    </row>
    <row r="137" customFormat="false" ht="15" hidden="false" customHeight="true" outlineLevel="0" collapsed="false">
      <c r="A137" s="1" t="s">
        <v>59</v>
      </c>
      <c r="B137" s="1" t="s">
        <v>512</v>
      </c>
      <c r="C137" s="1" t="s">
        <v>1217</v>
      </c>
      <c r="E137" s="1" t="s">
        <v>1219</v>
      </c>
      <c r="F137" s="1" t="s">
        <v>323</v>
      </c>
      <c r="I137" s="1" t="s">
        <v>1220</v>
      </c>
    </row>
    <row r="138" customFormat="false" ht="15" hidden="false" customHeight="true" outlineLevel="0" collapsed="false">
      <c r="A138" s="1" t="s">
        <v>59</v>
      </c>
      <c r="B138" s="1" t="s">
        <v>513</v>
      </c>
      <c r="C138" s="1" t="s">
        <v>1217</v>
      </c>
      <c r="E138" s="1" t="s">
        <v>1219</v>
      </c>
      <c r="F138" s="1" t="s">
        <v>323</v>
      </c>
      <c r="I138" s="1" t="s">
        <v>1220</v>
      </c>
    </row>
    <row r="139" customFormat="false" ht="15" hidden="false" customHeight="true" outlineLevel="0" collapsed="false">
      <c r="A139" s="1" t="s">
        <v>59</v>
      </c>
      <c r="B139" s="1" t="s">
        <v>514</v>
      </c>
      <c r="C139" s="1" t="s">
        <v>1217</v>
      </c>
      <c r="E139" s="1" t="s">
        <v>1219</v>
      </c>
      <c r="F139" s="1" t="s">
        <v>323</v>
      </c>
      <c r="I139" s="1" t="s">
        <v>1220</v>
      </c>
    </row>
    <row r="140" customFormat="false" ht="15" hidden="false" customHeight="true" outlineLevel="0" collapsed="false">
      <c r="A140" s="1" t="s">
        <v>59</v>
      </c>
      <c r="B140" s="1" t="s">
        <v>515</v>
      </c>
      <c r="C140" s="1" t="s">
        <v>1217</v>
      </c>
      <c r="E140" s="1" t="s">
        <v>1219</v>
      </c>
      <c r="F140" s="1" t="s">
        <v>323</v>
      </c>
      <c r="I140" s="1" t="s">
        <v>1220</v>
      </c>
    </row>
    <row r="141" customFormat="false" ht="15" hidden="false" customHeight="true" outlineLevel="0" collapsed="false">
      <c r="A141" s="1" t="s">
        <v>59</v>
      </c>
      <c r="B141" s="1" t="s">
        <v>516</v>
      </c>
      <c r="C141" s="1" t="s">
        <v>1217</v>
      </c>
      <c r="E141" s="1" t="s">
        <v>1219</v>
      </c>
      <c r="F141" s="1" t="s">
        <v>323</v>
      </c>
      <c r="I141" s="1" t="s">
        <v>1220</v>
      </c>
    </row>
    <row r="142" customFormat="false" ht="15" hidden="false" customHeight="true" outlineLevel="0" collapsed="false">
      <c r="A142" s="1" t="s">
        <v>59</v>
      </c>
      <c r="B142" s="1" t="s">
        <v>517</v>
      </c>
      <c r="C142" s="1" t="s">
        <v>1217</v>
      </c>
      <c r="E142" s="1" t="s">
        <v>1219</v>
      </c>
      <c r="F142" s="1" t="s">
        <v>323</v>
      </c>
      <c r="I142" s="1" t="s">
        <v>1220</v>
      </c>
    </row>
    <row r="143" customFormat="false" ht="15" hidden="false" customHeight="true" outlineLevel="0" collapsed="false">
      <c r="A143" s="1" t="s">
        <v>59</v>
      </c>
      <c r="B143" s="1" t="s">
        <v>518</v>
      </c>
      <c r="C143" s="1" t="s">
        <v>1217</v>
      </c>
      <c r="E143" s="1" t="s">
        <v>1219</v>
      </c>
      <c r="F143" s="1" t="s">
        <v>323</v>
      </c>
      <c r="I143" s="1" t="s">
        <v>1220</v>
      </c>
    </row>
    <row r="144" customFormat="false" ht="15" hidden="false" customHeight="true" outlineLevel="0" collapsed="false">
      <c r="A144" s="1" t="s">
        <v>59</v>
      </c>
      <c r="B144" s="1" t="s">
        <v>520</v>
      </c>
      <c r="C144" s="1" t="s">
        <v>1230</v>
      </c>
      <c r="E144" s="1" t="s">
        <v>1225</v>
      </c>
      <c r="F144" s="1" t="s">
        <v>323</v>
      </c>
      <c r="I144" s="1" t="s">
        <v>1220</v>
      </c>
    </row>
    <row r="145" customFormat="false" ht="15" hidden="false" customHeight="true" outlineLevel="0" collapsed="false">
      <c r="A145" s="1" t="s">
        <v>59</v>
      </c>
      <c r="B145" s="1" t="s">
        <v>521</v>
      </c>
      <c r="C145" s="1" t="s">
        <v>1217</v>
      </c>
      <c r="E145" s="1" t="s">
        <v>1219</v>
      </c>
      <c r="F145" s="1" t="s">
        <v>323</v>
      </c>
      <c r="I145" s="1" t="s">
        <v>1220</v>
      </c>
    </row>
    <row r="146" customFormat="false" ht="15" hidden="false" customHeight="true" outlineLevel="0" collapsed="false">
      <c r="A146" s="1" t="s">
        <v>59</v>
      </c>
      <c r="B146" s="1" t="s">
        <v>522</v>
      </c>
      <c r="C146" s="1" t="s">
        <v>1217</v>
      </c>
      <c r="E146" s="1" t="s">
        <v>1219</v>
      </c>
      <c r="F146" s="1" t="s">
        <v>323</v>
      </c>
      <c r="I146" s="1" t="s">
        <v>1220</v>
      </c>
    </row>
    <row r="147" customFormat="false" ht="15" hidden="false" customHeight="true" outlineLevel="0" collapsed="false">
      <c r="A147" s="1" t="s">
        <v>59</v>
      </c>
      <c r="B147" s="1" t="s">
        <v>523</v>
      </c>
      <c r="C147" s="1" t="s">
        <v>1217</v>
      </c>
      <c r="E147" s="1" t="s">
        <v>1219</v>
      </c>
      <c r="F147" s="1" t="s">
        <v>323</v>
      </c>
      <c r="I147" s="1" t="s">
        <v>1220</v>
      </c>
    </row>
    <row r="148" customFormat="false" ht="15" hidden="false" customHeight="true" outlineLevel="0" collapsed="false">
      <c r="A148" s="1" t="s">
        <v>13</v>
      </c>
      <c r="B148" s="1" t="s">
        <v>197</v>
      </c>
      <c r="C148" s="1" t="s">
        <v>1223</v>
      </c>
      <c r="D148" s="1" t="s">
        <v>1224</v>
      </c>
      <c r="E148" s="1" t="s">
        <v>1225</v>
      </c>
      <c r="F148" s="1" t="s">
        <v>323</v>
      </c>
      <c r="I148" s="1" t="s">
        <v>1220</v>
      </c>
    </row>
    <row r="149" customFormat="false" ht="15" hidden="false" customHeight="true" outlineLevel="0" collapsed="false">
      <c r="A149" s="1" t="s">
        <v>13</v>
      </c>
      <c r="B149" s="1" t="s">
        <v>93</v>
      </c>
      <c r="C149" s="1" t="s">
        <v>1230</v>
      </c>
      <c r="E149" s="1" t="s">
        <v>1225</v>
      </c>
      <c r="F149" s="1" t="s">
        <v>323</v>
      </c>
      <c r="I149" s="1" t="s">
        <v>1220</v>
      </c>
    </row>
    <row r="150" customFormat="false" ht="15" hidden="false" customHeight="true" outlineLevel="0" collapsed="false">
      <c r="A150" s="1" t="s">
        <v>13</v>
      </c>
      <c r="B150" s="1" t="s">
        <v>610</v>
      </c>
      <c r="C150" s="1" t="s">
        <v>1230</v>
      </c>
      <c r="E150" s="1" t="s">
        <v>1225</v>
      </c>
      <c r="F150" s="1" t="s">
        <v>323</v>
      </c>
      <c r="I150" s="1" t="s">
        <v>1220</v>
      </c>
    </row>
    <row r="151" customFormat="false" ht="15" hidden="false" customHeight="true" outlineLevel="0" collapsed="false">
      <c r="A151" s="1" t="s">
        <v>13</v>
      </c>
      <c r="B151" s="1" t="s">
        <v>86</v>
      </c>
      <c r="C151" s="1" t="s">
        <v>1217</v>
      </c>
      <c r="E151" s="1" t="s">
        <v>1219</v>
      </c>
      <c r="F151" s="1" t="s">
        <v>332</v>
      </c>
      <c r="G151" s="1" t="s">
        <v>1240</v>
      </c>
      <c r="I151" s="1" t="s">
        <v>1220</v>
      </c>
    </row>
    <row r="152" customFormat="false" ht="15" hidden="false" customHeight="true" outlineLevel="0" collapsed="false">
      <c r="A152" s="1" t="s">
        <v>13</v>
      </c>
      <c r="B152" s="1" t="s">
        <v>614</v>
      </c>
      <c r="C152" s="1" t="s">
        <v>1230</v>
      </c>
      <c r="E152" s="1" t="s">
        <v>1225</v>
      </c>
      <c r="F152" s="1" t="s">
        <v>323</v>
      </c>
      <c r="I152" s="1" t="s">
        <v>1220</v>
      </c>
    </row>
    <row r="153" customFormat="false" ht="15" hidden="false" customHeight="true" outlineLevel="0" collapsed="false">
      <c r="A153" s="1" t="s">
        <v>233</v>
      </c>
      <c r="B153" s="1" t="s">
        <v>213</v>
      </c>
      <c r="C153" s="1" t="s">
        <v>1217</v>
      </c>
      <c r="D153" s="1" t="s">
        <v>1241</v>
      </c>
      <c r="E153" s="1" t="s">
        <v>1242</v>
      </c>
      <c r="F153" s="1" t="s">
        <v>323</v>
      </c>
      <c r="H153" s="1" t="s">
        <v>1243</v>
      </c>
      <c r="I153" s="1" t="s">
        <v>1220</v>
      </c>
    </row>
    <row r="154" customFormat="false" ht="15" hidden="false" customHeight="true" outlineLevel="0" collapsed="false">
      <c r="A154" s="1" t="s">
        <v>233</v>
      </c>
      <c r="B154" s="1" t="s">
        <v>197</v>
      </c>
      <c r="C154" s="1" t="s">
        <v>1217</v>
      </c>
      <c r="E154" s="1" t="s">
        <v>1219</v>
      </c>
      <c r="F154" s="1" t="s">
        <v>323</v>
      </c>
      <c r="I154" s="1" t="s">
        <v>1220</v>
      </c>
    </row>
    <row r="155" customFormat="false" ht="15" hidden="false" customHeight="true" outlineLevel="0" collapsed="false">
      <c r="A155" s="1" t="s">
        <v>233</v>
      </c>
      <c r="B155" s="1" t="s">
        <v>93</v>
      </c>
      <c r="C155" s="1" t="s">
        <v>1217</v>
      </c>
      <c r="E155" s="1" t="s">
        <v>1219</v>
      </c>
      <c r="F155" s="1" t="s">
        <v>323</v>
      </c>
      <c r="I155" s="1" t="s">
        <v>1220</v>
      </c>
    </row>
    <row r="156" customFormat="false" ht="15" hidden="false" customHeight="true" outlineLevel="0" collapsed="false">
      <c r="A156" s="1" t="s">
        <v>233</v>
      </c>
      <c r="B156" s="1" t="s">
        <v>89</v>
      </c>
      <c r="C156" s="1" t="s">
        <v>1217</v>
      </c>
      <c r="E156" s="1" t="s">
        <v>1219</v>
      </c>
      <c r="F156" s="1" t="s">
        <v>323</v>
      </c>
      <c r="I156" s="1" t="s">
        <v>1220</v>
      </c>
    </row>
    <row r="157" customFormat="false" ht="15" hidden="false" customHeight="true" outlineLevel="0" collapsed="false">
      <c r="A157" s="1" t="s">
        <v>233</v>
      </c>
      <c r="B157" s="1" t="s">
        <v>422</v>
      </c>
      <c r="C157" s="1" t="s">
        <v>1217</v>
      </c>
      <c r="E157" s="1" t="s">
        <v>1219</v>
      </c>
      <c r="F157" s="1" t="s">
        <v>323</v>
      </c>
      <c r="I157" s="1" t="s">
        <v>1220</v>
      </c>
    </row>
    <row r="158" customFormat="false" ht="15" hidden="false" customHeight="true" outlineLevel="0" collapsed="false">
      <c r="A158" s="1" t="s">
        <v>233</v>
      </c>
      <c r="B158" s="1" t="s">
        <v>14</v>
      </c>
      <c r="C158" s="1" t="s">
        <v>1217</v>
      </c>
      <c r="E158" s="1" t="s">
        <v>1219</v>
      </c>
      <c r="F158" s="1" t="s">
        <v>323</v>
      </c>
      <c r="I158" s="1" t="s">
        <v>1220</v>
      </c>
    </row>
    <row r="159" customFormat="false" ht="15" hidden="false" customHeight="true" outlineLevel="0" collapsed="false">
      <c r="A159" s="1" t="s">
        <v>233</v>
      </c>
      <c r="B159" s="1" t="s">
        <v>20</v>
      </c>
      <c r="C159" s="1" t="s">
        <v>1217</v>
      </c>
      <c r="E159" s="1" t="s">
        <v>1219</v>
      </c>
      <c r="F159" s="1" t="s">
        <v>332</v>
      </c>
      <c r="I159" s="1" t="s">
        <v>1220</v>
      </c>
    </row>
    <row r="160" customFormat="false" ht="15" hidden="false" customHeight="true" outlineLevel="0" collapsed="false">
      <c r="A160" s="1" t="s">
        <v>233</v>
      </c>
      <c r="B160" s="1" t="s">
        <v>23</v>
      </c>
      <c r="C160" s="1" t="s">
        <v>1217</v>
      </c>
      <c r="E160" s="1" t="s">
        <v>1219</v>
      </c>
      <c r="F160" s="1" t="s">
        <v>323</v>
      </c>
      <c r="I160" s="1" t="s">
        <v>1220</v>
      </c>
    </row>
    <row r="161" customFormat="false" ht="15" hidden="false" customHeight="true" outlineLevel="0" collapsed="false">
      <c r="A161" s="1" t="s">
        <v>233</v>
      </c>
      <c r="B161" s="1" t="s">
        <v>71</v>
      </c>
      <c r="C161" s="1" t="s">
        <v>1217</v>
      </c>
      <c r="E161" s="1" t="s">
        <v>1219</v>
      </c>
      <c r="F161" s="1" t="s">
        <v>323</v>
      </c>
      <c r="I161" s="1" t="s">
        <v>1220</v>
      </c>
    </row>
    <row r="162" customFormat="false" ht="15" hidden="false" customHeight="true" outlineLevel="0" collapsed="false">
      <c r="A162" s="1" t="s">
        <v>233</v>
      </c>
      <c r="B162" s="1" t="s">
        <v>26</v>
      </c>
      <c r="C162" s="1" t="s">
        <v>1217</v>
      </c>
      <c r="E162" s="1" t="s">
        <v>1219</v>
      </c>
      <c r="F162" s="1" t="s">
        <v>323</v>
      </c>
      <c r="I162" s="1" t="s">
        <v>1220</v>
      </c>
    </row>
    <row r="163" customFormat="false" ht="15" hidden="false" customHeight="true" outlineLevel="0" collapsed="false">
      <c r="A163" s="1" t="s">
        <v>233</v>
      </c>
      <c r="B163" s="1" t="s">
        <v>29</v>
      </c>
      <c r="C163" s="1" t="s">
        <v>1217</v>
      </c>
      <c r="E163" s="1" t="s">
        <v>1219</v>
      </c>
      <c r="F163" s="1" t="s">
        <v>323</v>
      </c>
      <c r="I163" s="1" t="s">
        <v>1220</v>
      </c>
    </row>
    <row r="164" customFormat="false" ht="15" hidden="false" customHeight="true" outlineLevel="0" collapsed="false">
      <c r="A164" s="1" t="s">
        <v>88</v>
      </c>
      <c r="B164" s="1" t="s">
        <v>213</v>
      </c>
      <c r="C164" s="1" t="s">
        <v>1217</v>
      </c>
      <c r="D164" s="1" t="s">
        <v>1223</v>
      </c>
      <c r="E164" s="1" t="s">
        <v>1219</v>
      </c>
      <c r="F164" s="1" t="s">
        <v>323</v>
      </c>
      <c r="I164" s="1" t="s">
        <v>1220</v>
      </c>
    </row>
    <row r="165" customFormat="false" ht="15" hidden="false" customHeight="true" outlineLevel="0" collapsed="false">
      <c r="A165" s="1" t="s">
        <v>88</v>
      </c>
      <c r="B165" s="1" t="s">
        <v>197</v>
      </c>
      <c r="C165" s="1" t="s">
        <v>1217</v>
      </c>
      <c r="D165" s="1" t="s">
        <v>1223</v>
      </c>
      <c r="E165" s="1" t="s">
        <v>1219</v>
      </c>
      <c r="F165" s="1" t="s">
        <v>323</v>
      </c>
      <c r="I165" s="1" t="s">
        <v>1220</v>
      </c>
    </row>
    <row r="166" customFormat="false" ht="15" hidden="false" customHeight="true" outlineLevel="0" collapsed="false">
      <c r="A166" s="1" t="s">
        <v>88</v>
      </c>
      <c r="B166" s="1" t="s">
        <v>93</v>
      </c>
      <c r="C166" s="1" t="s">
        <v>1217</v>
      </c>
      <c r="D166" s="1" t="s">
        <v>1223</v>
      </c>
      <c r="E166" s="1" t="s">
        <v>1219</v>
      </c>
      <c r="F166" s="1" t="s">
        <v>323</v>
      </c>
      <c r="I166" s="1" t="s">
        <v>1220</v>
      </c>
    </row>
    <row r="167" customFormat="false" ht="15" hidden="false" customHeight="true" outlineLevel="0" collapsed="false">
      <c r="A167" s="1" t="s">
        <v>88</v>
      </c>
      <c r="B167" s="1" t="s">
        <v>422</v>
      </c>
      <c r="C167" s="1" t="s">
        <v>1217</v>
      </c>
      <c r="D167" s="1" t="s">
        <v>1223</v>
      </c>
      <c r="E167" s="1" t="s">
        <v>1219</v>
      </c>
      <c r="F167" s="1" t="s">
        <v>323</v>
      </c>
      <c r="I167" s="1" t="s">
        <v>1220</v>
      </c>
    </row>
    <row r="168" customFormat="false" ht="15" hidden="false" customHeight="true" outlineLevel="0" collapsed="false">
      <c r="A168" s="1" t="s">
        <v>88</v>
      </c>
      <c r="B168" s="1" t="s">
        <v>14</v>
      </c>
      <c r="C168" s="1" t="s">
        <v>1217</v>
      </c>
      <c r="D168" s="1" t="s">
        <v>1223</v>
      </c>
      <c r="E168" s="1" t="s">
        <v>1219</v>
      </c>
      <c r="F168" s="1" t="s">
        <v>323</v>
      </c>
      <c r="I168" s="1" t="s">
        <v>1220</v>
      </c>
    </row>
    <row r="169" customFormat="false" ht="15" hidden="false" customHeight="true" outlineLevel="0" collapsed="false">
      <c r="A169" s="1" t="s">
        <v>88</v>
      </c>
      <c r="B169" s="1" t="s">
        <v>20</v>
      </c>
      <c r="C169" s="1" t="s">
        <v>1217</v>
      </c>
      <c r="D169" s="1" t="s">
        <v>1223</v>
      </c>
      <c r="E169" s="1" t="s">
        <v>1219</v>
      </c>
      <c r="F169" s="1" t="s">
        <v>323</v>
      </c>
      <c r="I169" s="1" t="s">
        <v>1220</v>
      </c>
    </row>
    <row r="170" customFormat="false" ht="15" hidden="false" customHeight="true" outlineLevel="0" collapsed="false">
      <c r="A170" s="1" t="s">
        <v>88</v>
      </c>
      <c r="B170" s="1" t="s">
        <v>23</v>
      </c>
      <c r="C170" s="1" t="s">
        <v>1217</v>
      </c>
      <c r="D170" s="1" t="s">
        <v>1223</v>
      </c>
      <c r="E170" s="1" t="s">
        <v>1219</v>
      </c>
      <c r="F170" s="1" t="s">
        <v>323</v>
      </c>
      <c r="I170" s="1" t="s">
        <v>1220</v>
      </c>
    </row>
    <row r="171" customFormat="false" ht="15" hidden="false" customHeight="true" outlineLevel="0" collapsed="false">
      <c r="A171" s="1" t="s">
        <v>88</v>
      </c>
      <c r="B171" s="1" t="s">
        <v>71</v>
      </c>
      <c r="C171" s="1" t="s">
        <v>1217</v>
      </c>
      <c r="D171" s="1" t="s">
        <v>1223</v>
      </c>
      <c r="E171" s="1" t="s">
        <v>1219</v>
      </c>
      <c r="F171" s="1" t="s">
        <v>323</v>
      </c>
      <c r="I171" s="1" t="s">
        <v>1220</v>
      </c>
    </row>
    <row r="172" customFormat="false" ht="15" hidden="false" customHeight="true" outlineLevel="0" collapsed="false">
      <c r="A172" s="1" t="s">
        <v>88</v>
      </c>
      <c r="B172" s="1" t="s">
        <v>26</v>
      </c>
      <c r="C172" s="1" t="s">
        <v>1217</v>
      </c>
      <c r="D172" s="1" t="s">
        <v>1223</v>
      </c>
      <c r="E172" s="1" t="s">
        <v>1219</v>
      </c>
      <c r="F172" s="1" t="s">
        <v>323</v>
      </c>
      <c r="I172" s="1" t="s">
        <v>1220</v>
      </c>
    </row>
    <row r="173" customFormat="false" ht="15" hidden="false" customHeight="true" outlineLevel="0" collapsed="false">
      <c r="A173" s="1" t="s">
        <v>88</v>
      </c>
      <c r="B173" s="1" t="s">
        <v>29</v>
      </c>
      <c r="C173" s="1" t="s">
        <v>1217</v>
      </c>
      <c r="D173" s="1" t="s">
        <v>1223</v>
      </c>
      <c r="E173" s="1" t="s">
        <v>1219</v>
      </c>
      <c r="F173" s="1" t="s">
        <v>323</v>
      </c>
      <c r="I173" s="1" t="s">
        <v>1220</v>
      </c>
    </row>
    <row r="174" customFormat="false" ht="15" hidden="false" customHeight="true" outlineLevel="0" collapsed="false">
      <c r="A174" s="1" t="s">
        <v>70</v>
      </c>
      <c r="B174" s="1" t="s">
        <v>29</v>
      </c>
      <c r="C174" s="1" t="s">
        <v>1223</v>
      </c>
      <c r="E174" s="1" t="s">
        <v>1225</v>
      </c>
      <c r="F174" s="1" t="s">
        <v>323</v>
      </c>
      <c r="I174" s="1" t="s">
        <v>1220</v>
      </c>
    </row>
    <row r="175" customFormat="false" ht="15" hidden="false" customHeight="true" outlineLevel="0" collapsed="false">
      <c r="A175" s="1" t="s">
        <v>76</v>
      </c>
      <c r="B175" s="1" t="s">
        <v>213</v>
      </c>
      <c r="C175" s="1" t="s">
        <v>1217</v>
      </c>
      <c r="E175" s="1" t="s">
        <v>1219</v>
      </c>
      <c r="F175" s="1" t="s">
        <v>323</v>
      </c>
      <c r="I175" s="1" t="s">
        <v>1220</v>
      </c>
    </row>
    <row r="176" customFormat="false" ht="15" hidden="false" customHeight="true" outlineLevel="0" collapsed="false">
      <c r="A176" s="1" t="s">
        <v>76</v>
      </c>
      <c r="B176" s="1" t="s">
        <v>197</v>
      </c>
      <c r="C176" s="1" t="s">
        <v>1217</v>
      </c>
      <c r="E176" s="1" t="s">
        <v>1219</v>
      </c>
      <c r="F176" s="1" t="s">
        <v>323</v>
      </c>
      <c r="I176" s="1" t="s">
        <v>1220</v>
      </c>
    </row>
    <row r="177" customFormat="false" ht="15" hidden="false" customHeight="true" outlineLevel="0" collapsed="false">
      <c r="A177" s="1" t="s">
        <v>76</v>
      </c>
      <c r="B177" s="1" t="s">
        <v>93</v>
      </c>
      <c r="C177" s="1" t="s">
        <v>1217</v>
      </c>
      <c r="E177" s="1" t="s">
        <v>1219</v>
      </c>
      <c r="F177" s="1" t="s">
        <v>332</v>
      </c>
      <c r="G177" s="1" t="s">
        <v>1244</v>
      </c>
      <c r="I177" s="1" t="s">
        <v>1220</v>
      </c>
    </row>
    <row r="178" customFormat="false" ht="15" hidden="false" customHeight="true" outlineLevel="0" collapsed="false">
      <c r="A178" s="1" t="s">
        <v>76</v>
      </c>
      <c r="B178" s="1" t="s">
        <v>89</v>
      </c>
      <c r="C178" s="1" t="s">
        <v>1217</v>
      </c>
      <c r="E178" s="1" t="s">
        <v>1219</v>
      </c>
      <c r="F178" s="1" t="s">
        <v>323</v>
      </c>
      <c r="I178" s="1" t="s">
        <v>1220</v>
      </c>
    </row>
    <row r="179" customFormat="false" ht="15" hidden="false" customHeight="true" outlineLevel="0" collapsed="false">
      <c r="A179" s="1" t="s">
        <v>76</v>
      </c>
      <c r="B179" s="1" t="s">
        <v>422</v>
      </c>
      <c r="C179" s="1" t="s">
        <v>1217</v>
      </c>
      <c r="E179" s="1" t="s">
        <v>1219</v>
      </c>
      <c r="F179" s="1" t="s">
        <v>332</v>
      </c>
      <c r="G179" s="1" t="s">
        <v>1245</v>
      </c>
      <c r="I179" s="1" t="s">
        <v>1220</v>
      </c>
    </row>
    <row r="180" customFormat="false" ht="15" hidden="false" customHeight="true" outlineLevel="0" collapsed="false">
      <c r="A180" s="1" t="s">
        <v>76</v>
      </c>
      <c r="B180" s="1" t="s">
        <v>20</v>
      </c>
      <c r="C180" s="1" t="s">
        <v>1217</v>
      </c>
      <c r="E180" s="1" t="s">
        <v>1246</v>
      </c>
      <c r="F180" s="1" t="s">
        <v>332</v>
      </c>
      <c r="G180" s="1" t="s">
        <v>1247</v>
      </c>
      <c r="H180" s="1" t="s">
        <v>1248</v>
      </c>
      <c r="I180" s="1" t="s">
        <v>1220</v>
      </c>
    </row>
    <row r="181" customFormat="false" ht="15" hidden="false" customHeight="true" outlineLevel="0" collapsed="false">
      <c r="A181" s="1" t="s">
        <v>76</v>
      </c>
      <c r="B181" s="1" t="s">
        <v>23</v>
      </c>
      <c r="C181" s="1" t="s">
        <v>1217</v>
      </c>
      <c r="E181" s="1" t="s">
        <v>1246</v>
      </c>
      <c r="F181" s="1" t="s">
        <v>332</v>
      </c>
      <c r="G181" s="1" t="s">
        <v>1249</v>
      </c>
      <c r="H181" s="1" t="s">
        <v>1250</v>
      </c>
      <c r="I181" s="1" t="s">
        <v>1220</v>
      </c>
    </row>
    <row r="182" customFormat="false" ht="15" hidden="false" customHeight="true" outlineLevel="0" collapsed="false">
      <c r="A182" s="1" t="s">
        <v>76</v>
      </c>
      <c r="B182" s="1" t="s">
        <v>71</v>
      </c>
      <c r="C182" s="1" t="s">
        <v>1217</v>
      </c>
      <c r="E182" s="1" t="s">
        <v>1246</v>
      </c>
      <c r="F182" s="1" t="s">
        <v>332</v>
      </c>
      <c r="G182" s="1" t="s">
        <v>1251</v>
      </c>
      <c r="H182" s="1" t="s">
        <v>1252</v>
      </c>
      <c r="I182" s="1" t="s">
        <v>1220</v>
      </c>
    </row>
    <row r="183" customFormat="false" ht="15" hidden="false" customHeight="true" outlineLevel="0" collapsed="false">
      <c r="A183" s="1" t="s">
        <v>76</v>
      </c>
      <c r="B183" s="1" t="s">
        <v>26</v>
      </c>
      <c r="C183" s="1" t="s">
        <v>1217</v>
      </c>
      <c r="E183" s="1" t="s">
        <v>1219</v>
      </c>
      <c r="F183" s="1" t="s">
        <v>323</v>
      </c>
      <c r="I183" s="1" t="s">
        <v>1220</v>
      </c>
    </row>
    <row r="184" customFormat="false" ht="15" hidden="false" customHeight="true" outlineLevel="0" collapsed="false">
      <c r="A184" s="1" t="s">
        <v>76</v>
      </c>
      <c r="B184" s="1" t="s">
        <v>29</v>
      </c>
      <c r="C184" s="1" t="s">
        <v>1217</v>
      </c>
      <c r="E184" s="1" t="s">
        <v>1219</v>
      </c>
      <c r="F184" s="1" t="s">
        <v>323</v>
      </c>
      <c r="I184" s="1" t="s">
        <v>1220</v>
      </c>
    </row>
    <row r="185" customFormat="false" ht="15" hidden="false" customHeight="true" outlineLevel="0" collapsed="false">
      <c r="A185" s="1" t="s">
        <v>135</v>
      </c>
      <c r="B185" s="1" t="s">
        <v>23</v>
      </c>
      <c r="C185" s="1" t="s">
        <v>1223</v>
      </c>
      <c r="D185" s="1" t="s">
        <v>1253</v>
      </c>
      <c r="E185" s="1" t="s">
        <v>1225</v>
      </c>
      <c r="F185" s="1" t="s">
        <v>323</v>
      </c>
      <c r="I185" s="1" t="s">
        <v>1220</v>
      </c>
    </row>
    <row r="186" customFormat="false" ht="15" hidden="false" customHeight="true" outlineLevel="0" collapsed="false">
      <c r="A186" s="1" t="s">
        <v>135</v>
      </c>
      <c r="B186" s="1" t="s">
        <v>49</v>
      </c>
      <c r="C186" s="1" t="s">
        <v>1230</v>
      </c>
      <c r="E186" s="1" t="s">
        <v>1225</v>
      </c>
      <c r="F186" s="1" t="s">
        <v>323</v>
      </c>
      <c r="I186" s="1" t="s">
        <v>1220</v>
      </c>
    </row>
    <row r="187" customFormat="false" ht="15" hidden="false" customHeight="true" outlineLevel="0" collapsed="false">
      <c r="A187" s="1" t="s">
        <v>135</v>
      </c>
      <c r="B187" s="1" t="s">
        <v>376</v>
      </c>
      <c r="C187" s="1" t="s">
        <v>1230</v>
      </c>
      <c r="E187" s="1" t="s">
        <v>1225</v>
      </c>
      <c r="F187" s="1" t="s">
        <v>323</v>
      </c>
      <c r="I187" s="1" t="s">
        <v>1220</v>
      </c>
    </row>
    <row r="188" customFormat="false" ht="15" hidden="false" customHeight="true" outlineLevel="0" collapsed="false">
      <c r="A188" s="1" t="s">
        <v>135</v>
      </c>
      <c r="B188" s="1" t="s">
        <v>190</v>
      </c>
      <c r="C188" s="1" t="s">
        <v>1254</v>
      </c>
      <c r="E188" s="1" t="s">
        <v>1225</v>
      </c>
      <c r="F188" s="1" t="s">
        <v>323</v>
      </c>
      <c r="I188" s="1" t="s">
        <v>1220</v>
      </c>
    </row>
    <row r="189" customFormat="false" ht="15" hidden="false" customHeight="true" outlineLevel="0" collapsed="false">
      <c r="A189" s="1" t="s">
        <v>135</v>
      </c>
      <c r="B189" s="1" t="s">
        <v>383</v>
      </c>
      <c r="C189" s="1" t="s">
        <v>1230</v>
      </c>
      <c r="E189" s="1" t="s">
        <v>1225</v>
      </c>
      <c r="F189" s="1" t="s">
        <v>323</v>
      </c>
      <c r="I189" s="1" t="s">
        <v>1220</v>
      </c>
    </row>
    <row r="190" customFormat="false" ht="15" hidden="false" customHeight="true" outlineLevel="0" collapsed="false">
      <c r="A190" s="1" t="s">
        <v>135</v>
      </c>
      <c r="B190" s="1" t="s">
        <v>384</v>
      </c>
      <c r="C190" s="1" t="s">
        <v>1230</v>
      </c>
      <c r="E190" s="1" t="s">
        <v>1225</v>
      </c>
      <c r="F190" s="1" t="s">
        <v>323</v>
      </c>
      <c r="I190" s="1" t="s">
        <v>1220</v>
      </c>
    </row>
    <row r="191" customFormat="false" ht="15" hidden="false" customHeight="true" outlineLevel="0" collapsed="false">
      <c r="A191" s="1" t="s">
        <v>135</v>
      </c>
      <c r="B191" s="1" t="s">
        <v>386</v>
      </c>
      <c r="C191" s="1" t="s">
        <v>1217</v>
      </c>
      <c r="E191" s="1" t="s">
        <v>1219</v>
      </c>
      <c r="F191" s="1" t="s">
        <v>332</v>
      </c>
      <c r="G191" s="1" t="s">
        <v>1255</v>
      </c>
      <c r="I191" s="1" t="s">
        <v>1220</v>
      </c>
    </row>
    <row r="192" customFormat="false" ht="15" hidden="false" customHeight="true" outlineLevel="0" collapsed="false">
      <c r="A192" s="1" t="s">
        <v>135</v>
      </c>
      <c r="B192" s="1" t="s">
        <v>105</v>
      </c>
      <c r="C192" s="1" t="s">
        <v>1217</v>
      </c>
      <c r="E192" s="1" t="s">
        <v>1219</v>
      </c>
      <c r="F192" s="1" t="s">
        <v>323</v>
      </c>
      <c r="I192" s="1" t="s">
        <v>1220</v>
      </c>
    </row>
    <row r="193" customFormat="false" ht="15" hidden="false" customHeight="true" outlineLevel="0" collapsed="false">
      <c r="A193" s="1" t="s">
        <v>135</v>
      </c>
      <c r="B193" s="1" t="s">
        <v>388</v>
      </c>
      <c r="C193" s="1" t="s">
        <v>1217</v>
      </c>
      <c r="E193" s="1" t="s">
        <v>1219</v>
      </c>
      <c r="F193" s="1" t="s">
        <v>323</v>
      </c>
      <c r="I193" s="1" t="s">
        <v>1220</v>
      </c>
    </row>
    <row r="194" customFormat="false" ht="15" hidden="false" customHeight="true" outlineLevel="0" collapsed="false">
      <c r="A194" s="1" t="s">
        <v>135</v>
      </c>
      <c r="B194" s="1" t="s">
        <v>348</v>
      </c>
      <c r="C194" s="1" t="s">
        <v>1217</v>
      </c>
      <c r="E194" s="1" t="s">
        <v>1219</v>
      </c>
      <c r="F194" s="1" t="s">
        <v>332</v>
      </c>
      <c r="I194" s="1" t="s">
        <v>1220</v>
      </c>
    </row>
    <row r="195" customFormat="false" ht="15" hidden="false" customHeight="true" outlineLevel="0" collapsed="false">
      <c r="A195" s="1" t="s">
        <v>135</v>
      </c>
      <c r="B195" s="1" t="s">
        <v>349</v>
      </c>
      <c r="C195" s="1" t="s">
        <v>1217</v>
      </c>
      <c r="E195" s="1" t="s">
        <v>1219</v>
      </c>
      <c r="F195" s="1" t="s">
        <v>323</v>
      </c>
      <c r="I195" s="1" t="s">
        <v>1220</v>
      </c>
    </row>
    <row r="196" customFormat="false" ht="15" hidden="false" customHeight="true" outlineLevel="0" collapsed="false">
      <c r="A196" s="1" t="s">
        <v>135</v>
      </c>
      <c r="B196" s="1" t="s">
        <v>389</v>
      </c>
      <c r="C196" s="1" t="s">
        <v>1217</v>
      </c>
      <c r="E196" s="1" t="s">
        <v>1219</v>
      </c>
      <c r="F196" s="1" t="s">
        <v>323</v>
      </c>
      <c r="I196" s="1" t="s">
        <v>1220</v>
      </c>
    </row>
    <row r="197" customFormat="false" ht="15" hidden="false" customHeight="true" outlineLevel="0" collapsed="false">
      <c r="A197" s="1" t="s">
        <v>135</v>
      </c>
      <c r="B197" s="1" t="s">
        <v>352</v>
      </c>
      <c r="C197" s="1" t="s">
        <v>1217</v>
      </c>
      <c r="E197" s="1" t="s">
        <v>1219</v>
      </c>
      <c r="F197" s="1" t="s">
        <v>323</v>
      </c>
      <c r="I197" s="1" t="s">
        <v>1220</v>
      </c>
    </row>
    <row r="198" customFormat="false" ht="15" hidden="false" customHeight="true" outlineLevel="0" collapsed="false">
      <c r="A198" s="1" t="s">
        <v>135</v>
      </c>
      <c r="B198" s="1" t="s">
        <v>353</v>
      </c>
      <c r="C198" s="1" t="s">
        <v>1217</v>
      </c>
      <c r="E198" s="1" t="s">
        <v>1219</v>
      </c>
      <c r="F198" s="1" t="s">
        <v>323</v>
      </c>
      <c r="I198" s="1" t="s">
        <v>1220</v>
      </c>
    </row>
    <row r="199" customFormat="false" ht="15" hidden="false" customHeight="true" outlineLevel="0" collapsed="false">
      <c r="A199" s="1" t="s">
        <v>135</v>
      </c>
      <c r="B199" s="1" t="s">
        <v>390</v>
      </c>
      <c r="C199" s="1" t="s">
        <v>1217</v>
      </c>
      <c r="E199" s="1" t="s">
        <v>1219</v>
      </c>
      <c r="F199" s="1" t="s">
        <v>323</v>
      </c>
      <c r="I199" s="1" t="s">
        <v>1220</v>
      </c>
    </row>
    <row r="200" customFormat="false" ht="15" hidden="false" customHeight="true" outlineLevel="0" collapsed="false">
      <c r="A200" s="1" t="s">
        <v>135</v>
      </c>
      <c r="B200" s="1" t="s">
        <v>391</v>
      </c>
      <c r="C200" s="1" t="s">
        <v>1217</v>
      </c>
      <c r="E200" s="1" t="s">
        <v>1219</v>
      </c>
      <c r="F200" s="1" t="s">
        <v>323</v>
      </c>
      <c r="I200" s="1" t="s">
        <v>1220</v>
      </c>
    </row>
    <row r="201" customFormat="false" ht="15" hidden="false" customHeight="true" outlineLevel="0" collapsed="false">
      <c r="A201" s="1" t="s">
        <v>135</v>
      </c>
      <c r="B201" s="1" t="s">
        <v>356</v>
      </c>
      <c r="C201" s="1" t="s">
        <v>1217</v>
      </c>
      <c r="E201" s="1" t="s">
        <v>1219</v>
      </c>
      <c r="F201" s="1" t="s">
        <v>323</v>
      </c>
      <c r="I201" s="1" t="s">
        <v>1220</v>
      </c>
    </row>
    <row r="202" customFormat="false" ht="15" hidden="false" customHeight="true" outlineLevel="0" collapsed="false">
      <c r="A202" s="1" t="s">
        <v>135</v>
      </c>
      <c r="B202" s="1" t="s">
        <v>108</v>
      </c>
      <c r="C202" s="1" t="s">
        <v>1217</v>
      </c>
      <c r="E202" s="1" t="s">
        <v>1219</v>
      </c>
      <c r="F202" s="1" t="s">
        <v>323</v>
      </c>
      <c r="I202" s="1" t="s">
        <v>1220</v>
      </c>
    </row>
    <row r="203" customFormat="false" ht="15" hidden="false" customHeight="true" outlineLevel="0" collapsed="false">
      <c r="A203" s="1" t="s">
        <v>135</v>
      </c>
      <c r="B203" s="1" t="s">
        <v>392</v>
      </c>
      <c r="C203" s="1" t="s">
        <v>1217</v>
      </c>
      <c r="E203" s="1" t="s">
        <v>1219</v>
      </c>
      <c r="F203" s="1" t="s">
        <v>323</v>
      </c>
      <c r="I203" s="1" t="s">
        <v>1220</v>
      </c>
    </row>
    <row r="204" customFormat="false" ht="15" hidden="false" customHeight="true" outlineLevel="0" collapsed="false">
      <c r="A204" s="1" t="s">
        <v>135</v>
      </c>
      <c r="B204" s="1" t="s">
        <v>393</v>
      </c>
      <c r="C204" s="1" t="s">
        <v>1217</v>
      </c>
      <c r="E204" s="1" t="s">
        <v>1219</v>
      </c>
      <c r="F204" s="1" t="s">
        <v>323</v>
      </c>
      <c r="I204" s="1" t="s">
        <v>1220</v>
      </c>
    </row>
    <row r="205" customFormat="false" ht="15" hidden="false" customHeight="true" outlineLevel="0" collapsed="false">
      <c r="A205" s="1" t="s">
        <v>135</v>
      </c>
      <c r="B205" s="1" t="s">
        <v>394</v>
      </c>
      <c r="C205" s="1" t="s">
        <v>1217</v>
      </c>
      <c r="E205" s="1" t="s">
        <v>1219</v>
      </c>
      <c r="F205" s="1" t="s">
        <v>323</v>
      </c>
      <c r="I205" s="1" t="s">
        <v>1220</v>
      </c>
    </row>
    <row r="206" customFormat="false" ht="15" hidden="false" customHeight="true" outlineLevel="0" collapsed="false">
      <c r="A206" s="1" t="s">
        <v>135</v>
      </c>
      <c r="B206" s="1" t="s">
        <v>395</v>
      </c>
      <c r="C206" s="1" t="s">
        <v>1217</v>
      </c>
      <c r="E206" s="1" t="s">
        <v>1219</v>
      </c>
      <c r="F206" s="1" t="s">
        <v>332</v>
      </c>
      <c r="G206" s="1" t="s">
        <v>1256</v>
      </c>
      <c r="I206" s="1" t="s">
        <v>1220</v>
      </c>
    </row>
    <row r="207" customFormat="false" ht="15" hidden="false" customHeight="true" outlineLevel="0" collapsed="false">
      <c r="A207" s="1" t="s">
        <v>135</v>
      </c>
      <c r="B207" s="1" t="s">
        <v>396</v>
      </c>
      <c r="C207" s="1" t="s">
        <v>1217</v>
      </c>
      <c r="E207" s="1" t="s">
        <v>1219</v>
      </c>
      <c r="F207" s="1" t="s">
        <v>332</v>
      </c>
      <c r="G207" s="1" t="s">
        <v>1257</v>
      </c>
      <c r="I207" s="1" t="s">
        <v>1220</v>
      </c>
    </row>
    <row r="208" customFormat="false" ht="15" hidden="false" customHeight="true" outlineLevel="0" collapsed="false">
      <c r="A208" s="1" t="s">
        <v>135</v>
      </c>
      <c r="B208" s="1" t="s">
        <v>116</v>
      </c>
      <c r="C208" s="1" t="s">
        <v>1217</v>
      </c>
      <c r="E208" s="1" t="s">
        <v>1219</v>
      </c>
      <c r="F208" s="1" t="s">
        <v>323</v>
      </c>
      <c r="I208" s="1" t="s">
        <v>1220</v>
      </c>
    </row>
    <row r="209" customFormat="false" ht="15" hidden="false" customHeight="true" outlineLevel="0" collapsed="false">
      <c r="A209" s="1" t="s">
        <v>135</v>
      </c>
      <c r="B209" s="1" t="s">
        <v>397</v>
      </c>
      <c r="C209" s="1" t="s">
        <v>1217</v>
      </c>
      <c r="E209" s="1" t="s">
        <v>1219</v>
      </c>
      <c r="F209" s="1" t="s">
        <v>323</v>
      </c>
      <c r="I209" s="1" t="s">
        <v>1220</v>
      </c>
    </row>
    <row r="210" customFormat="false" ht="15" hidden="false" customHeight="true" outlineLevel="0" collapsed="false">
      <c r="A210" s="1" t="s">
        <v>135</v>
      </c>
      <c r="B210" s="1" t="s">
        <v>398</v>
      </c>
      <c r="C210" s="1" t="s">
        <v>1217</v>
      </c>
      <c r="E210" s="1" t="s">
        <v>1219</v>
      </c>
      <c r="F210" s="1" t="s">
        <v>323</v>
      </c>
      <c r="I210" s="1" t="s">
        <v>1220</v>
      </c>
    </row>
    <row r="211" customFormat="false" ht="15" hidden="false" customHeight="true" outlineLevel="0" collapsed="false">
      <c r="A211" s="1" t="s">
        <v>135</v>
      </c>
      <c r="B211" s="1" t="s">
        <v>399</v>
      </c>
      <c r="C211" s="1" t="s">
        <v>1217</v>
      </c>
      <c r="E211" s="1" t="s">
        <v>1219</v>
      </c>
      <c r="F211" s="1" t="s">
        <v>323</v>
      </c>
      <c r="I211" s="1" t="s">
        <v>1220</v>
      </c>
    </row>
    <row r="212" customFormat="false" ht="15" hidden="false" customHeight="true" outlineLevel="0" collapsed="false">
      <c r="A212" s="1" t="s">
        <v>135</v>
      </c>
      <c r="B212" s="1" t="s">
        <v>168</v>
      </c>
      <c r="C212" s="1" t="s">
        <v>1230</v>
      </c>
      <c r="E212" s="1" t="s">
        <v>1225</v>
      </c>
      <c r="F212" s="1" t="s">
        <v>323</v>
      </c>
      <c r="I212" s="1" t="s">
        <v>1220</v>
      </c>
    </row>
    <row r="213" customFormat="false" ht="15" hidden="false" customHeight="true" outlineLevel="0" collapsed="false">
      <c r="A213" s="1" t="s">
        <v>135</v>
      </c>
      <c r="B213" s="1" t="s">
        <v>360</v>
      </c>
      <c r="C213" s="1" t="s">
        <v>1230</v>
      </c>
      <c r="E213" s="1" t="s">
        <v>1225</v>
      </c>
      <c r="F213" s="1" t="s">
        <v>323</v>
      </c>
      <c r="I213" s="1" t="s">
        <v>1220</v>
      </c>
    </row>
    <row r="214" customFormat="false" ht="15" hidden="false" customHeight="true" outlineLevel="0" collapsed="false">
      <c r="A214" s="1" t="s">
        <v>135</v>
      </c>
      <c r="B214" s="1" t="s">
        <v>400</v>
      </c>
      <c r="C214" s="1" t="s">
        <v>1230</v>
      </c>
      <c r="E214" s="1" t="s">
        <v>1225</v>
      </c>
      <c r="F214" s="1" t="s">
        <v>323</v>
      </c>
      <c r="I214" s="1" t="s">
        <v>1220</v>
      </c>
    </row>
    <row r="215" customFormat="false" ht="15" hidden="false" customHeight="true" outlineLevel="0" collapsed="false">
      <c r="A215" s="1" t="s">
        <v>135</v>
      </c>
      <c r="B215" s="1" t="s">
        <v>401</v>
      </c>
      <c r="C215" s="1" t="s">
        <v>1230</v>
      </c>
      <c r="E215" s="1" t="s">
        <v>1225</v>
      </c>
      <c r="F215" s="1" t="s">
        <v>323</v>
      </c>
      <c r="I215" s="1" t="s">
        <v>1220</v>
      </c>
    </row>
    <row r="216" customFormat="false" ht="15" hidden="false" customHeight="true" outlineLevel="0" collapsed="false">
      <c r="A216" s="1" t="s">
        <v>135</v>
      </c>
      <c r="B216" s="1" t="s">
        <v>402</v>
      </c>
      <c r="C216" s="1" t="s">
        <v>1230</v>
      </c>
      <c r="E216" s="1" t="s">
        <v>1225</v>
      </c>
      <c r="F216" s="1" t="s">
        <v>323</v>
      </c>
      <c r="I216" s="1" t="s">
        <v>1220</v>
      </c>
    </row>
    <row r="217" customFormat="false" ht="15" hidden="false" customHeight="true" outlineLevel="0" collapsed="false">
      <c r="A217" s="1" t="s">
        <v>135</v>
      </c>
      <c r="B217" s="1" t="s">
        <v>403</v>
      </c>
      <c r="C217" s="1" t="s">
        <v>1230</v>
      </c>
      <c r="E217" s="1" t="s">
        <v>1225</v>
      </c>
      <c r="F217" s="1" t="s">
        <v>323</v>
      </c>
      <c r="I217" s="1" t="s">
        <v>1220</v>
      </c>
    </row>
    <row r="218" customFormat="false" ht="15" hidden="false" customHeight="true" outlineLevel="0" collapsed="false">
      <c r="A218" s="1" t="s">
        <v>135</v>
      </c>
      <c r="B218" s="1" t="s">
        <v>364</v>
      </c>
      <c r="C218" s="1" t="s">
        <v>1230</v>
      </c>
      <c r="E218" s="1" t="s">
        <v>1225</v>
      </c>
      <c r="F218" s="1" t="s">
        <v>323</v>
      </c>
      <c r="I218" s="1" t="s">
        <v>1220</v>
      </c>
    </row>
    <row r="219" customFormat="false" ht="15" hidden="false" customHeight="true" outlineLevel="0" collapsed="false">
      <c r="A219" s="1" t="s">
        <v>135</v>
      </c>
      <c r="B219" s="1" t="s">
        <v>119</v>
      </c>
      <c r="C219" s="1" t="s">
        <v>1230</v>
      </c>
      <c r="E219" s="1" t="s">
        <v>1225</v>
      </c>
      <c r="F219" s="1" t="s">
        <v>323</v>
      </c>
      <c r="I219" s="1" t="s">
        <v>1220</v>
      </c>
    </row>
    <row r="220" customFormat="false" ht="15" hidden="false" customHeight="true" outlineLevel="0" collapsed="false">
      <c r="A220" s="1" t="s">
        <v>135</v>
      </c>
      <c r="B220" s="1" t="s">
        <v>121</v>
      </c>
      <c r="C220" s="1" t="s">
        <v>1230</v>
      </c>
      <c r="E220" s="1" t="s">
        <v>1225</v>
      </c>
      <c r="F220" s="1" t="s">
        <v>323</v>
      </c>
      <c r="I220" s="1" t="s">
        <v>1220</v>
      </c>
    </row>
    <row r="221" customFormat="false" ht="15" hidden="false" customHeight="true" outlineLevel="0" collapsed="false">
      <c r="A221" s="1" t="s">
        <v>135</v>
      </c>
      <c r="B221" s="1" t="s">
        <v>408</v>
      </c>
      <c r="C221" s="1" t="s">
        <v>1230</v>
      </c>
      <c r="E221" s="1" t="s">
        <v>1225</v>
      </c>
      <c r="F221" s="1" t="s">
        <v>323</v>
      </c>
      <c r="I221" s="1" t="s">
        <v>1220</v>
      </c>
    </row>
    <row r="222" customFormat="false" ht="15" hidden="false" customHeight="true" outlineLevel="0" collapsed="false">
      <c r="A222" s="1" t="s">
        <v>135</v>
      </c>
      <c r="B222" s="1" t="s">
        <v>409</v>
      </c>
      <c r="C222" s="1" t="s">
        <v>1227</v>
      </c>
      <c r="E222" s="1" t="s">
        <v>1219</v>
      </c>
      <c r="F222" s="1" t="s">
        <v>323</v>
      </c>
      <c r="H222" s="1" t="s">
        <v>1258</v>
      </c>
      <c r="I222" s="1" t="s">
        <v>1220</v>
      </c>
    </row>
    <row r="223" customFormat="false" ht="15" hidden="false" customHeight="true" outlineLevel="0" collapsed="false">
      <c r="A223" s="1" t="s">
        <v>135</v>
      </c>
      <c r="B223" s="1" t="s">
        <v>410</v>
      </c>
      <c r="C223" s="1" t="s">
        <v>1230</v>
      </c>
      <c r="E223" s="1" t="s">
        <v>1225</v>
      </c>
      <c r="F223" s="1" t="s">
        <v>323</v>
      </c>
      <c r="I223" s="1" t="s">
        <v>1220</v>
      </c>
    </row>
    <row r="224" customFormat="false" ht="15" hidden="false" customHeight="true" outlineLevel="0" collapsed="false">
      <c r="A224" s="1" t="s">
        <v>135</v>
      </c>
      <c r="B224" s="1" t="s">
        <v>411</v>
      </c>
      <c r="C224" s="1" t="s">
        <v>1230</v>
      </c>
      <c r="E224" s="1" t="s">
        <v>1225</v>
      </c>
      <c r="F224" s="1" t="s">
        <v>323</v>
      </c>
      <c r="I224" s="1" t="s">
        <v>1220</v>
      </c>
    </row>
    <row r="225" customFormat="false" ht="15" hidden="false" customHeight="true" outlineLevel="0" collapsed="false">
      <c r="A225" s="1" t="s">
        <v>135</v>
      </c>
      <c r="B225" s="1" t="s">
        <v>412</v>
      </c>
      <c r="C225" s="1" t="s">
        <v>1230</v>
      </c>
      <c r="E225" s="1" t="s">
        <v>1225</v>
      </c>
      <c r="F225" s="1" t="s">
        <v>323</v>
      </c>
      <c r="I225" s="1" t="s">
        <v>1220</v>
      </c>
    </row>
    <row r="226" customFormat="false" ht="15" hidden="false" customHeight="true" outlineLevel="0" collapsed="false">
      <c r="A226" s="1" t="s">
        <v>135</v>
      </c>
      <c r="B226" s="1" t="s">
        <v>413</v>
      </c>
      <c r="C226" s="1" t="s">
        <v>1230</v>
      </c>
      <c r="E226" s="1" t="s">
        <v>1225</v>
      </c>
      <c r="F226" s="1" t="s">
        <v>323</v>
      </c>
      <c r="I226" s="1" t="s">
        <v>1220</v>
      </c>
    </row>
    <row r="227" customFormat="false" ht="15" hidden="false" customHeight="true" outlineLevel="0" collapsed="false">
      <c r="A227" s="1" t="s">
        <v>135</v>
      </c>
      <c r="B227" s="1" t="s">
        <v>414</v>
      </c>
      <c r="C227" s="1" t="s">
        <v>1230</v>
      </c>
      <c r="E227" s="1" t="s">
        <v>1225</v>
      </c>
      <c r="F227" s="1" t="s">
        <v>323</v>
      </c>
      <c r="I227" s="1" t="s">
        <v>1220</v>
      </c>
    </row>
    <row r="228" customFormat="false" ht="15" hidden="false" customHeight="true" outlineLevel="0" collapsed="false">
      <c r="A228" s="1" t="s">
        <v>135</v>
      </c>
      <c r="B228" s="1" t="s">
        <v>367</v>
      </c>
      <c r="C228" s="1" t="s">
        <v>1230</v>
      </c>
      <c r="E228" s="1" t="s">
        <v>1225</v>
      </c>
      <c r="F228" s="1" t="s">
        <v>323</v>
      </c>
      <c r="I228" s="1" t="s">
        <v>1220</v>
      </c>
    </row>
    <row r="229" customFormat="false" ht="15" hidden="false" customHeight="true" outlineLevel="0" collapsed="false">
      <c r="A229" s="1" t="s">
        <v>135</v>
      </c>
      <c r="B229" s="1" t="s">
        <v>415</v>
      </c>
      <c r="C229" s="1" t="s">
        <v>1230</v>
      </c>
      <c r="E229" s="1" t="s">
        <v>1225</v>
      </c>
      <c r="F229" s="1" t="s">
        <v>323</v>
      </c>
      <c r="I229" s="1" t="s">
        <v>1220</v>
      </c>
    </row>
    <row r="230" customFormat="false" ht="15" hidden="false" customHeight="true" outlineLevel="0" collapsed="false">
      <c r="A230" s="1" t="s">
        <v>135</v>
      </c>
      <c r="B230" s="1" t="s">
        <v>416</v>
      </c>
      <c r="C230" s="1" t="s">
        <v>1230</v>
      </c>
      <c r="E230" s="1" t="s">
        <v>1225</v>
      </c>
      <c r="F230" s="1" t="s">
        <v>323</v>
      </c>
      <c r="I230" s="1" t="s">
        <v>1220</v>
      </c>
    </row>
    <row r="231" customFormat="false" ht="15" hidden="false" customHeight="true" outlineLevel="0" collapsed="false">
      <c r="A231" s="1" t="s">
        <v>135</v>
      </c>
      <c r="B231" s="1" t="s">
        <v>417</v>
      </c>
      <c r="C231" s="1" t="s">
        <v>1227</v>
      </c>
      <c r="E231" s="1" t="s">
        <v>1219</v>
      </c>
      <c r="F231" s="1" t="s">
        <v>323</v>
      </c>
      <c r="H231" s="1" t="s">
        <v>1259</v>
      </c>
      <c r="I231" s="1" t="s">
        <v>1220</v>
      </c>
    </row>
    <row r="232" customFormat="false" ht="15" hidden="false" customHeight="true" outlineLevel="0" collapsed="false">
      <c r="A232" s="1" t="s">
        <v>135</v>
      </c>
      <c r="B232" s="1" t="s">
        <v>129</v>
      </c>
      <c r="C232" s="1" t="s">
        <v>1230</v>
      </c>
      <c r="E232" s="1" t="s">
        <v>1225</v>
      </c>
      <c r="F232" s="1" t="s">
        <v>323</v>
      </c>
      <c r="I232" s="1" t="s">
        <v>1220</v>
      </c>
    </row>
    <row r="233" customFormat="false" ht="15" hidden="false" customHeight="true" outlineLevel="0" collapsed="false">
      <c r="A233" s="1" t="s">
        <v>135</v>
      </c>
      <c r="B233" s="1" t="s">
        <v>131</v>
      </c>
      <c r="C233" s="1" t="s">
        <v>1230</v>
      </c>
      <c r="E233" s="1" t="s">
        <v>1225</v>
      </c>
      <c r="F233" s="1" t="s">
        <v>323</v>
      </c>
      <c r="I233" s="1" t="s">
        <v>1220</v>
      </c>
    </row>
    <row r="234" customFormat="false" ht="15" hidden="false" customHeight="true" outlineLevel="0" collapsed="false">
      <c r="A234" s="1" t="s">
        <v>135</v>
      </c>
      <c r="B234" s="1" t="s">
        <v>196</v>
      </c>
      <c r="C234" s="1" t="s">
        <v>1230</v>
      </c>
      <c r="E234" s="1" t="s">
        <v>1225</v>
      </c>
      <c r="F234" s="1" t="s">
        <v>323</v>
      </c>
      <c r="I234" s="1" t="s">
        <v>1220</v>
      </c>
    </row>
    <row r="235" customFormat="false" ht="15" hidden="false" customHeight="true" outlineLevel="0" collapsed="false">
      <c r="A235" s="1" t="s">
        <v>135</v>
      </c>
      <c r="B235" s="1" t="s">
        <v>418</v>
      </c>
      <c r="C235" s="1" t="s">
        <v>1230</v>
      </c>
      <c r="E235" s="1" t="s">
        <v>1225</v>
      </c>
      <c r="F235" s="1" t="s">
        <v>323</v>
      </c>
      <c r="I235" s="1" t="s">
        <v>1220</v>
      </c>
    </row>
    <row r="236" customFormat="false" ht="15" hidden="false" customHeight="true" outlineLevel="0" collapsed="false">
      <c r="A236" s="1" t="s">
        <v>135</v>
      </c>
      <c r="B236" s="1" t="s">
        <v>419</v>
      </c>
      <c r="C236" s="1" t="s">
        <v>1230</v>
      </c>
      <c r="E236" s="1" t="s">
        <v>1225</v>
      </c>
      <c r="F236" s="1" t="s">
        <v>323</v>
      </c>
      <c r="I236" s="1" t="s">
        <v>1220</v>
      </c>
    </row>
    <row r="237" customFormat="false" ht="15" hidden="false" customHeight="true" outlineLevel="0" collapsed="false">
      <c r="A237" s="1" t="s">
        <v>135</v>
      </c>
      <c r="B237" s="1" t="s">
        <v>373</v>
      </c>
      <c r="C237" s="1" t="s">
        <v>1230</v>
      </c>
      <c r="E237" s="1" t="s">
        <v>1225</v>
      </c>
      <c r="F237" s="1" t="s">
        <v>323</v>
      </c>
      <c r="I237" s="1" t="s">
        <v>1220</v>
      </c>
    </row>
    <row r="238" customFormat="false" ht="15" hidden="false" customHeight="true" outlineLevel="0" collapsed="false">
      <c r="A238" s="1" t="s">
        <v>135</v>
      </c>
      <c r="B238" s="1" t="s">
        <v>420</v>
      </c>
      <c r="C238" s="1" t="s">
        <v>1230</v>
      </c>
      <c r="E238" s="1" t="s">
        <v>1225</v>
      </c>
      <c r="F238" s="1" t="s">
        <v>323</v>
      </c>
      <c r="I238" s="1" t="s">
        <v>1220</v>
      </c>
    </row>
    <row r="239" customFormat="false" ht="15" hidden="false" customHeight="true" outlineLevel="0" collapsed="false">
      <c r="A239" s="1" t="s">
        <v>95</v>
      </c>
      <c r="B239" s="1" t="s">
        <v>32</v>
      </c>
      <c r="C239" s="1" t="s">
        <v>1223</v>
      </c>
      <c r="D239" s="1" t="s">
        <v>1224</v>
      </c>
      <c r="E239" s="1" t="s">
        <v>1225</v>
      </c>
      <c r="F239" s="1" t="s">
        <v>323</v>
      </c>
      <c r="I239" s="1" t="s">
        <v>1220</v>
      </c>
    </row>
    <row r="240" customFormat="false" ht="15" hidden="false" customHeight="true" outlineLevel="0" collapsed="false">
      <c r="A240" s="1" t="s">
        <v>95</v>
      </c>
      <c r="B240" s="1" t="s">
        <v>328</v>
      </c>
      <c r="C240" s="1" t="s">
        <v>1230</v>
      </c>
      <c r="E240" s="1" t="s">
        <v>1225</v>
      </c>
      <c r="F240" s="1" t="s">
        <v>323</v>
      </c>
      <c r="I240" s="1" t="s">
        <v>1220</v>
      </c>
    </row>
    <row r="241" customFormat="false" ht="15" hidden="false" customHeight="true" outlineLevel="0" collapsed="false">
      <c r="A241" s="1" t="s">
        <v>95</v>
      </c>
      <c r="B241" s="1" t="s">
        <v>338</v>
      </c>
      <c r="C241" s="1" t="s">
        <v>1230</v>
      </c>
      <c r="E241" s="1" t="s">
        <v>1225</v>
      </c>
      <c r="F241" s="1" t="s">
        <v>323</v>
      </c>
      <c r="I241" s="1" t="s">
        <v>1220</v>
      </c>
    </row>
    <row r="242" customFormat="false" ht="15" hidden="false" customHeight="true" outlineLevel="0" collapsed="false">
      <c r="A242" s="1" t="s">
        <v>95</v>
      </c>
      <c r="B242" s="1" t="s">
        <v>339</v>
      </c>
      <c r="C242" s="1" t="s">
        <v>1230</v>
      </c>
      <c r="E242" s="1" t="s">
        <v>1225</v>
      </c>
      <c r="F242" s="1" t="s">
        <v>323</v>
      </c>
      <c r="I242" s="1" t="s">
        <v>1220</v>
      </c>
    </row>
    <row r="243" customFormat="false" ht="15" hidden="false" customHeight="true" outlineLevel="0" collapsed="false">
      <c r="A243" s="1" t="s">
        <v>95</v>
      </c>
      <c r="B243" s="1" t="s">
        <v>341</v>
      </c>
      <c r="C243" s="1" t="s">
        <v>1230</v>
      </c>
      <c r="E243" s="1" t="s">
        <v>1219</v>
      </c>
      <c r="F243" s="1" t="s">
        <v>323</v>
      </c>
      <c r="H243" s="1" t="s">
        <v>1260</v>
      </c>
      <c r="I243" s="1" t="s">
        <v>1220</v>
      </c>
    </row>
    <row r="244" customFormat="false" ht="15" hidden="false" customHeight="true" outlineLevel="0" collapsed="false">
      <c r="A244" s="1" t="s">
        <v>95</v>
      </c>
      <c r="B244" s="1" t="s">
        <v>342</v>
      </c>
      <c r="C244" s="1" t="s">
        <v>1230</v>
      </c>
      <c r="E244" s="1" t="s">
        <v>1225</v>
      </c>
      <c r="F244" s="1" t="s">
        <v>323</v>
      </c>
      <c r="I244" s="1" t="s">
        <v>1220</v>
      </c>
    </row>
    <row r="245" customFormat="false" ht="15" hidden="false" customHeight="true" outlineLevel="0" collapsed="false">
      <c r="A245" s="1" t="s">
        <v>95</v>
      </c>
      <c r="B245" s="1" t="s">
        <v>343</v>
      </c>
      <c r="C245" s="1" t="s">
        <v>1217</v>
      </c>
      <c r="E245" s="1" t="s">
        <v>1219</v>
      </c>
      <c r="F245" s="1" t="s">
        <v>323</v>
      </c>
      <c r="I245" s="1" t="s">
        <v>1220</v>
      </c>
    </row>
    <row r="246" customFormat="false" ht="15" hidden="false" customHeight="true" outlineLevel="0" collapsed="false">
      <c r="A246" s="1" t="s">
        <v>95</v>
      </c>
      <c r="B246" s="1" t="s">
        <v>143</v>
      </c>
      <c r="C246" s="1" t="s">
        <v>1217</v>
      </c>
      <c r="E246" s="1" t="s">
        <v>1219</v>
      </c>
      <c r="F246" s="1" t="s">
        <v>323</v>
      </c>
      <c r="I246" s="1" t="s">
        <v>1220</v>
      </c>
    </row>
    <row r="247" customFormat="false" ht="15" hidden="false" customHeight="true" outlineLevel="0" collapsed="false">
      <c r="A247" s="1" t="s">
        <v>95</v>
      </c>
      <c r="B247" s="1" t="s">
        <v>346</v>
      </c>
      <c r="C247" s="1" t="s">
        <v>1217</v>
      </c>
      <c r="E247" s="1" t="s">
        <v>1219</v>
      </c>
      <c r="F247" s="1" t="s">
        <v>323</v>
      </c>
      <c r="I247" s="1" t="s">
        <v>1220</v>
      </c>
    </row>
    <row r="248" customFormat="false" ht="15" hidden="false" customHeight="true" outlineLevel="0" collapsed="false">
      <c r="A248" s="1" t="s">
        <v>95</v>
      </c>
      <c r="B248" s="1" t="s">
        <v>348</v>
      </c>
      <c r="C248" s="1" t="s">
        <v>1217</v>
      </c>
      <c r="E248" s="1" t="s">
        <v>1219</v>
      </c>
      <c r="F248" s="1" t="s">
        <v>323</v>
      </c>
      <c r="I248" s="1" t="s">
        <v>1220</v>
      </c>
    </row>
    <row r="249" customFormat="false" ht="15" hidden="false" customHeight="true" outlineLevel="0" collapsed="false">
      <c r="A249" s="1" t="s">
        <v>95</v>
      </c>
      <c r="B249" s="1" t="s">
        <v>349</v>
      </c>
      <c r="C249" s="1" t="s">
        <v>1217</v>
      </c>
      <c r="E249" s="1" t="s">
        <v>1219</v>
      </c>
      <c r="F249" s="1" t="s">
        <v>332</v>
      </c>
      <c r="G249" s="1" t="s">
        <v>1261</v>
      </c>
      <c r="I249" s="1" t="s">
        <v>1220</v>
      </c>
    </row>
    <row r="250" customFormat="false" ht="15" hidden="false" customHeight="true" outlineLevel="0" collapsed="false">
      <c r="A250" s="1" t="s">
        <v>95</v>
      </c>
      <c r="B250" s="1" t="s">
        <v>350</v>
      </c>
      <c r="C250" s="1" t="s">
        <v>1217</v>
      </c>
      <c r="E250" s="1" t="s">
        <v>1219</v>
      </c>
      <c r="F250" s="1" t="s">
        <v>323</v>
      </c>
      <c r="I250" s="1" t="s">
        <v>1220</v>
      </c>
    </row>
    <row r="251" customFormat="false" ht="15" hidden="false" customHeight="true" outlineLevel="0" collapsed="false">
      <c r="A251" s="1" t="s">
        <v>95</v>
      </c>
      <c r="B251" s="1" t="s">
        <v>351</v>
      </c>
      <c r="C251" s="1" t="s">
        <v>1217</v>
      </c>
      <c r="E251" s="1" t="s">
        <v>1219</v>
      </c>
      <c r="F251" s="1" t="s">
        <v>332</v>
      </c>
      <c r="G251" s="1" t="s">
        <v>1262</v>
      </c>
      <c r="I251" s="1" t="s">
        <v>1220</v>
      </c>
    </row>
    <row r="252" customFormat="false" ht="15" hidden="false" customHeight="true" outlineLevel="0" collapsed="false">
      <c r="A252" s="1" t="s">
        <v>95</v>
      </c>
      <c r="B252" s="1" t="s">
        <v>352</v>
      </c>
      <c r="C252" s="1" t="s">
        <v>1217</v>
      </c>
      <c r="E252" s="1" t="s">
        <v>1219</v>
      </c>
      <c r="F252" s="1" t="s">
        <v>323</v>
      </c>
      <c r="I252" s="1" t="s">
        <v>1220</v>
      </c>
    </row>
    <row r="253" customFormat="false" ht="15" hidden="false" customHeight="true" outlineLevel="0" collapsed="false">
      <c r="A253" s="1" t="s">
        <v>95</v>
      </c>
      <c r="B253" s="1" t="s">
        <v>356</v>
      </c>
      <c r="C253" s="1" t="s">
        <v>1217</v>
      </c>
      <c r="E253" s="1" t="s">
        <v>1219</v>
      </c>
      <c r="F253" s="1" t="s">
        <v>323</v>
      </c>
      <c r="I253" s="1" t="s">
        <v>1220</v>
      </c>
    </row>
    <row r="254" customFormat="false" ht="15" hidden="false" customHeight="true" outlineLevel="0" collapsed="false">
      <c r="A254" s="1" t="s">
        <v>95</v>
      </c>
      <c r="B254" s="1" t="s">
        <v>145</v>
      </c>
      <c r="C254" s="1" t="s">
        <v>1263</v>
      </c>
      <c r="E254" s="1" t="s">
        <v>1225</v>
      </c>
      <c r="F254" s="1" t="s">
        <v>323</v>
      </c>
      <c r="I254" s="1" t="s">
        <v>1220</v>
      </c>
    </row>
    <row r="255" customFormat="false" ht="15" hidden="false" customHeight="true" outlineLevel="0" collapsed="false">
      <c r="A255" s="1" t="s">
        <v>95</v>
      </c>
      <c r="B255" s="1" t="s">
        <v>360</v>
      </c>
      <c r="C255" s="1" t="s">
        <v>1217</v>
      </c>
      <c r="E255" s="1" t="s">
        <v>1219</v>
      </c>
      <c r="F255" s="1" t="s">
        <v>323</v>
      </c>
      <c r="I255" s="1" t="s">
        <v>1220</v>
      </c>
    </row>
    <row r="256" customFormat="false" ht="15" hidden="false" customHeight="true" outlineLevel="0" collapsed="false">
      <c r="A256" s="1" t="s">
        <v>95</v>
      </c>
      <c r="B256" s="1" t="s">
        <v>361</v>
      </c>
      <c r="C256" s="1" t="s">
        <v>1217</v>
      </c>
      <c r="E256" s="1" t="s">
        <v>1219</v>
      </c>
      <c r="F256" s="1" t="s">
        <v>323</v>
      </c>
      <c r="I256" s="1" t="s">
        <v>1220</v>
      </c>
    </row>
    <row r="257" customFormat="false" ht="15" hidden="false" customHeight="true" outlineLevel="0" collapsed="false">
      <c r="A257" s="1" t="s">
        <v>95</v>
      </c>
      <c r="B257" s="1" t="s">
        <v>60</v>
      </c>
      <c r="C257" s="1" t="s">
        <v>1217</v>
      </c>
      <c r="E257" s="1" t="s">
        <v>1219</v>
      </c>
      <c r="F257" s="1" t="s">
        <v>323</v>
      </c>
      <c r="I257" s="1" t="s">
        <v>1220</v>
      </c>
    </row>
    <row r="258" customFormat="false" ht="15" hidden="false" customHeight="true" outlineLevel="0" collapsed="false">
      <c r="A258" s="1" t="s">
        <v>95</v>
      </c>
      <c r="B258" s="1" t="s">
        <v>362</v>
      </c>
      <c r="C258" s="1" t="s">
        <v>1217</v>
      </c>
      <c r="E258" s="1" t="s">
        <v>1219</v>
      </c>
      <c r="F258" s="1" t="s">
        <v>323</v>
      </c>
      <c r="I258" s="1" t="s">
        <v>1220</v>
      </c>
    </row>
    <row r="259" customFormat="false" ht="15" hidden="false" customHeight="true" outlineLevel="0" collapsed="false">
      <c r="A259" s="1" t="s">
        <v>95</v>
      </c>
      <c r="B259" s="1" t="s">
        <v>363</v>
      </c>
      <c r="C259" s="1" t="s">
        <v>1217</v>
      </c>
      <c r="E259" s="1" t="s">
        <v>1219</v>
      </c>
      <c r="F259" s="1" t="s">
        <v>323</v>
      </c>
      <c r="I259" s="1" t="s">
        <v>1220</v>
      </c>
    </row>
    <row r="260" customFormat="false" ht="15" hidden="false" customHeight="true" outlineLevel="0" collapsed="false">
      <c r="A260" s="1" t="s">
        <v>95</v>
      </c>
      <c r="B260" s="1" t="s">
        <v>364</v>
      </c>
      <c r="C260" s="1" t="s">
        <v>1217</v>
      </c>
      <c r="E260" s="1" t="s">
        <v>1219</v>
      </c>
      <c r="F260" s="1" t="s">
        <v>323</v>
      </c>
      <c r="I260" s="1" t="s">
        <v>1220</v>
      </c>
    </row>
    <row r="261" customFormat="false" ht="15" hidden="false" customHeight="true" outlineLevel="0" collapsed="false">
      <c r="A261" s="1" t="s">
        <v>95</v>
      </c>
      <c r="B261" s="1" t="s">
        <v>365</v>
      </c>
      <c r="C261" s="1" t="s">
        <v>1230</v>
      </c>
      <c r="E261" s="1" t="s">
        <v>1225</v>
      </c>
      <c r="F261" s="1" t="s">
        <v>323</v>
      </c>
      <c r="I261" s="1" t="s">
        <v>1220</v>
      </c>
    </row>
    <row r="262" customFormat="false" ht="15" hidden="false" customHeight="true" outlineLevel="0" collapsed="false">
      <c r="A262" s="1" t="s">
        <v>95</v>
      </c>
      <c r="B262" s="1" t="s">
        <v>366</v>
      </c>
      <c r="C262" s="1" t="s">
        <v>1230</v>
      </c>
      <c r="E262" s="1" t="s">
        <v>1225</v>
      </c>
      <c r="F262" s="1" t="s">
        <v>323</v>
      </c>
      <c r="I262" s="1" t="s">
        <v>1220</v>
      </c>
    </row>
    <row r="263" customFormat="false" ht="15" hidden="false" customHeight="true" outlineLevel="0" collapsed="false">
      <c r="A263" s="1" t="s">
        <v>95</v>
      </c>
      <c r="B263" s="1" t="s">
        <v>367</v>
      </c>
      <c r="C263" s="1" t="s">
        <v>1230</v>
      </c>
      <c r="E263" s="1" t="s">
        <v>1225</v>
      </c>
      <c r="F263" s="1" t="s">
        <v>323</v>
      </c>
      <c r="I263" s="1" t="s">
        <v>1220</v>
      </c>
    </row>
    <row r="264" customFormat="false" ht="15" hidden="false" customHeight="true" outlineLevel="0" collapsed="false">
      <c r="A264" s="1" t="s">
        <v>95</v>
      </c>
      <c r="B264" s="1" t="s">
        <v>368</v>
      </c>
      <c r="C264" s="1" t="s">
        <v>1230</v>
      </c>
      <c r="E264" s="1" t="s">
        <v>1225</v>
      </c>
      <c r="F264" s="1" t="s">
        <v>323</v>
      </c>
      <c r="I264" s="1" t="s">
        <v>1220</v>
      </c>
    </row>
    <row r="265" customFormat="false" ht="15" hidden="false" customHeight="true" outlineLevel="0" collapsed="false">
      <c r="A265" s="1" t="s">
        <v>95</v>
      </c>
      <c r="B265" s="1" t="s">
        <v>155</v>
      </c>
      <c r="C265" s="1" t="s">
        <v>1230</v>
      </c>
      <c r="E265" s="1" t="s">
        <v>1225</v>
      </c>
      <c r="F265" s="1" t="s">
        <v>323</v>
      </c>
      <c r="I265" s="1" t="s">
        <v>1220</v>
      </c>
    </row>
    <row r="266" customFormat="false" ht="15" hidden="false" customHeight="true" outlineLevel="0" collapsed="false">
      <c r="A266" s="1" t="s">
        <v>95</v>
      </c>
      <c r="B266" s="1" t="s">
        <v>369</v>
      </c>
      <c r="C266" s="1" t="s">
        <v>1230</v>
      </c>
      <c r="E266" s="1" t="s">
        <v>1225</v>
      </c>
      <c r="F266" s="1" t="s">
        <v>323</v>
      </c>
      <c r="I266" s="1" t="s">
        <v>1220</v>
      </c>
    </row>
    <row r="267" customFormat="false" ht="15" hidden="false" customHeight="true" outlineLevel="0" collapsed="false">
      <c r="A267" s="1" t="s">
        <v>95</v>
      </c>
      <c r="B267" s="1" t="s">
        <v>370</v>
      </c>
      <c r="C267" s="1" t="s">
        <v>1230</v>
      </c>
      <c r="E267" s="1" t="s">
        <v>1225</v>
      </c>
      <c r="F267" s="1" t="s">
        <v>323</v>
      </c>
      <c r="I267" s="1" t="s">
        <v>1220</v>
      </c>
    </row>
    <row r="268" customFormat="false" ht="15" hidden="false" customHeight="true" outlineLevel="0" collapsed="false">
      <c r="A268" s="1" t="s">
        <v>95</v>
      </c>
      <c r="B268" s="1" t="s">
        <v>371</v>
      </c>
      <c r="C268" s="1" t="s">
        <v>1230</v>
      </c>
      <c r="E268" s="1" t="s">
        <v>1225</v>
      </c>
      <c r="F268" s="1" t="s">
        <v>323</v>
      </c>
      <c r="I268" s="1" t="s">
        <v>1220</v>
      </c>
    </row>
    <row r="269" customFormat="false" ht="15" hidden="false" customHeight="true" outlineLevel="0" collapsed="false">
      <c r="A269" s="1" t="s">
        <v>95</v>
      </c>
      <c r="B269" s="1" t="s">
        <v>372</v>
      </c>
      <c r="C269" s="1" t="s">
        <v>1230</v>
      </c>
      <c r="E269" s="1" t="s">
        <v>1225</v>
      </c>
      <c r="F269" s="1" t="s">
        <v>323</v>
      </c>
      <c r="I269" s="1" t="s">
        <v>1220</v>
      </c>
    </row>
    <row r="270" customFormat="false" ht="15" hidden="false" customHeight="true" outlineLevel="0" collapsed="false">
      <c r="A270" s="1" t="s">
        <v>95</v>
      </c>
      <c r="B270" s="1" t="s">
        <v>373</v>
      </c>
      <c r="C270" s="1" t="s">
        <v>1230</v>
      </c>
      <c r="E270" s="1" t="s">
        <v>1225</v>
      </c>
      <c r="F270" s="1" t="s">
        <v>323</v>
      </c>
      <c r="I270" s="1" t="s">
        <v>1220</v>
      </c>
    </row>
  </sheetData>
  <autoFilter ref="A3:I2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3" min="3" style="1" width="22"/>
    <col collapsed="false" customWidth="true" hidden="false" outlineLevel="0" max="4" min="4" style="1" width="30"/>
    <col collapsed="false" customWidth="true" hidden="false" outlineLevel="0" max="5" min="5" style="1" width="40"/>
    <col collapsed="false" customWidth="true" hidden="false" outlineLevel="0" max="6" min="6" style="1" width="12"/>
    <col collapsed="false" customWidth="true" hidden="false" outlineLevel="0" max="7" min="7" style="1" width="40"/>
    <col collapsed="false" customWidth="true" hidden="false" outlineLevel="0" max="8" min="8" style="1" width="60"/>
  </cols>
  <sheetData>
    <row r="1" customFormat="false" ht="34.5" hidden="false" customHeight="true" outlineLevel="0" collapsed="false">
      <c r="A1" s="4" t="s">
        <v>531</v>
      </c>
      <c r="B1" s="4" t="s">
        <v>5</v>
      </c>
      <c r="C1" s="4" t="s">
        <v>1264</v>
      </c>
      <c r="D1" s="4" t="s">
        <v>532</v>
      </c>
      <c r="E1" s="4" t="s">
        <v>1265</v>
      </c>
      <c r="F1" s="4" t="s">
        <v>1266</v>
      </c>
      <c r="G1" s="4" t="s">
        <v>1267</v>
      </c>
      <c r="H1" s="4" t="s">
        <v>1216</v>
      </c>
    </row>
    <row r="2" customFormat="false" ht="15" hidden="false" customHeight="true" outlineLevel="0" collapsed="false">
      <c r="A2" s="19" t="s">
        <v>76</v>
      </c>
      <c r="B2" s="19" t="s">
        <v>213</v>
      </c>
      <c r="C2" s="19" t="s">
        <v>344</v>
      </c>
      <c r="D2" s="19" t="s">
        <v>345</v>
      </c>
      <c r="E2" s="19"/>
      <c r="F2" s="19" t="n">
        <v>0</v>
      </c>
      <c r="G2" s="19"/>
      <c r="H2" s="19"/>
    </row>
    <row r="3" customFormat="false" ht="15" hidden="false" customHeight="true" outlineLevel="0" collapsed="false">
      <c r="A3" s="19" t="s">
        <v>76</v>
      </c>
      <c r="B3" s="19" t="s">
        <v>197</v>
      </c>
      <c r="C3" s="19" t="s">
        <v>344</v>
      </c>
      <c r="D3" s="19" t="s">
        <v>345</v>
      </c>
      <c r="E3" s="19"/>
      <c r="F3" s="19" t="n">
        <v>0</v>
      </c>
      <c r="G3" s="19"/>
      <c r="H3" s="19"/>
    </row>
    <row r="4" customFormat="false" ht="15" hidden="false" customHeight="true" outlineLevel="0" collapsed="false">
      <c r="A4" s="19" t="s">
        <v>76</v>
      </c>
      <c r="B4" s="19" t="s">
        <v>93</v>
      </c>
      <c r="C4" s="19" t="s">
        <v>344</v>
      </c>
      <c r="D4" s="19" t="s">
        <v>345</v>
      </c>
      <c r="E4" s="19"/>
      <c r="F4" s="19" t="n">
        <v>0</v>
      </c>
      <c r="G4" s="19"/>
      <c r="H4" s="19"/>
    </row>
    <row r="5" customFormat="false" ht="15" hidden="false" customHeight="true" outlineLevel="0" collapsed="false">
      <c r="A5" s="19" t="s">
        <v>76</v>
      </c>
      <c r="B5" s="19" t="s">
        <v>89</v>
      </c>
      <c r="C5" s="19" t="s">
        <v>344</v>
      </c>
      <c r="D5" s="19" t="s">
        <v>345</v>
      </c>
      <c r="E5" s="19"/>
      <c r="F5" s="19" t="n">
        <v>0</v>
      </c>
      <c r="G5" s="19"/>
      <c r="H5" s="19"/>
    </row>
    <row r="6" customFormat="false" ht="15" hidden="false" customHeight="true" outlineLevel="0" collapsed="false">
      <c r="A6" s="19" t="s">
        <v>76</v>
      </c>
      <c r="B6" s="19" t="s">
        <v>422</v>
      </c>
      <c r="C6" s="19" t="s">
        <v>344</v>
      </c>
      <c r="D6" s="19" t="s">
        <v>345</v>
      </c>
      <c r="E6" s="19"/>
      <c r="F6" s="19" t="n">
        <v>0</v>
      </c>
      <c r="G6" s="19"/>
      <c r="H6" s="19"/>
    </row>
    <row r="7" customFormat="false" ht="15" hidden="false" customHeight="true" outlineLevel="0" collapsed="false">
      <c r="A7" s="19" t="s">
        <v>76</v>
      </c>
      <c r="B7" s="19" t="s">
        <v>14</v>
      </c>
      <c r="C7" s="19" t="s">
        <v>330</v>
      </c>
      <c r="D7" s="19" t="s">
        <v>331</v>
      </c>
      <c r="E7" s="19"/>
      <c r="F7" s="19" t="n">
        <v>0</v>
      </c>
      <c r="G7" s="19"/>
      <c r="H7" s="19"/>
    </row>
    <row r="8" customFormat="false" ht="15" hidden="false" customHeight="true" outlineLevel="0" collapsed="false">
      <c r="A8" s="19" t="s">
        <v>76</v>
      </c>
      <c r="B8" s="19" t="s">
        <v>20</v>
      </c>
      <c r="C8" s="19" t="s">
        <v>344</v>
      </c>
      <c r="D8" s="19" t="s">
        <v>345</v>
      </c>
      <c r="E8" s="19"/>
      <c r="F8" s="19" t="n">
        <v>0</v>
      </c>
      <c r="G8" s="19"/>
      <c r="H8" s="19"/>
    </row>
    <row r="9" customFormat="false" ht="15" hidden="false" customHeight="true" outlineLevel="0" collapsed="false">
      <c r="A9" s="19" t="s">
        <v>76</v>
      </c>
      <c r="B9" s="19" t="s">
        <v>23</v>
      </c>
      <c r="C9" s="19" t="s">
        <v>344</v>
      </c>
      <c r="D9" s="19" t="s">
        <v>345</v>
      </c>
      <c r="E9" s="19"/>
      <c r="F9" s="19" t="n">
        <v>0</v>
      </c>
      <c r="G9" s="19"/>
      <c r="H9" s="19"/>
    </row>
    <row r="10" customFormat="false" ht="15" hidden="false" customHeight="true" outlineLevel="0" collapsed="false">
      <c r="A10" s="19" t="s">
        <v>76</v>
      </c>
      <c r="B10" s="19" t="s">
        <v>71</v>
      </c>
      <c r="C10" s="19" t="s">
        <v>344</v>
      </c>
      <c r="D10" s="19" t="s">
        <v>345</v>
      </c>
      <c r="E10" s="19"/>
      <c r="F10" s="19" t="n">
        <v>0</v>
      </c>
      <c r="G10" s="19"/>
      <c r="H10" s="19"/>
    </row>
    <row r="11" customFormat="false" ht="15" hidden="false" customHeight="true" outlineLevel="0" collapsed="false">
      <c r="A11" s="19" t="s">
        <v>76</v>
      </c>
      <c r="B11" s="19" t="s">
        <v>26</v>
      </c>
      <c r="C11" s="19" t="s">
        <v>344</v>
      </c>
      <c r="D11" s="19" t="s">
        <v>345</v>
      </c>
      <c r="E11" s="19"/>
      <c r="F11" s="19" t="n">
        <v>0</v>
      </c>
      <c r="G11" s="19"/>
      <c r="H11" s="19"/>
    </row>
    <row r="12" customFormat="false" ht="15" hidden="false" customHeight="true" outlineLevel="0" collapsed="false">
      <c r="A12" s="19" t="s">
        <v>76</v>
      </c>
      <c r="B12" s="19" t="s">
        <v>29</v>
      </c>
      <c r="C12" s="19" t="s">
        <v>344</v>
      </c>
      <c r="D12" s="19" t="s">
        <v>345</v>
      </c>
      <c r="E12" s="19"/>
      <c r="F12" s="19" t="n">
        <v>0</v>
      </c>
      <c r="G12" s="19"/>
      <c r="H12" s="19"/>
    </row>
    <row r="13" customFormat="false" ht="15" hidden="false" customHeight="true" outlineLevel="0" collapsed="false">
      <c r="A13" s="23" t="s">
        <v>76</v>
      </c>
      <c r="B13" s="23" t="s">
        <v>32</v>
      </c>
      <c r="C13" s="23" t="s">
        <v>1268</v>
      </c>
      <c r="D13" s="23" t="s">
        <v>1269</v>
      </c>
      <c r="E13" s="23" t="s">
        <v>1270</v>
      </c>
      <c r="F13" s="23" t="n">
        <v>0</v>
      </c>
      <c r="G13" s="23"/>
      <c r="H13" s="23" t="s">
        <v>1271</v>
      </c>
    </row>
    <row r="14" customFormat="false" ht="15" hidden="false" customHeight="true" outlineLevel="0" collapsed="false">
      <c r="A14" s="19" t="s">
        <v>13</v>
      </c>
      <c r="B14" s="19" t="s">
        <v>197</v>
      </c>
      <c r="C14" s="19" t="s">
        <v>325</v>
      </c>
      <c r="D14" s="19" t="s">
        <v>538</v>
      </c>
      <c r="E14" s="19" t="s">
        <v>1272</v>
      </c>
      <c r="F14" s="19" t="n">
        <v>0</v>
      </c>
      <c r="G14" s="19"/>
      <c r="H14" s="19"/>
    </row>
    <row r="15" customFormat="false" ht="15" hidden="false" customHeight="true" outlineLevel="0" collapsed="false">
      <c r="A15" s="19" t="s">
        <v>13</v>
      </c>
      <c r="B15" s="19" t="s">
        <v>93</v>
      </c>
      <c r="C15" s="19" t="s">
        <v>330</v>
      </c>
      <c r="D15" s="19" t="s">
        <v>331</v>
      </c>
      <c r="E15" s="19"/>
      <c r="F15" s="19" t="n">
        <v>0</v>
      </c>
      <c r="G15" s="19"/>
      <c r="H15" s="19"/>
    </row>
    <row r="16" customFormat="false" ht="15" hidden="false" customHeight="true" outlineLevel="0" collapsed="false">
      <c r="A16" s="24" t="s">
        <v>13</v>
      </c>
      <c r="B16" s="24" t="s">
        <v>71</v>
      </c>
      <c r="C16" s="24" t="s">
        <v>330</v>
      </c>
      <c r="D16" s="24" t="s">
        <v>331</v>
      </c>
      <c r="E16" s="24"/>
      <c r="F16" s="24" t="n">
        <v>1</v>
      </c>
      <c r="G16" s="24" t="s">
        <v>1273</v>
      </c>
      <c r="H16" s="24"/>
    </row>
    <row r="17" customFormat="false" ht="15" hidden="false" customHeight="true" outlineLevel="0" collapsed="false">
      <c r="A17" s="19" t="s">
        <v>13</v>
      </c>
      <c r="B17" s="19" t="s">
        <v>610</v>
      </c>
      <c r="C17" s="19" t="s">
        <v>330</v>
      </c>
      <c r="D17" s="19" t="s">
        <v>331</v>
      </c>
      <c r="E17" s="19"/>
      <c r="F17" s="19" t="n">
        <v>0</v>
      </c>
      <c r="G17" s="19"/>
      <c r="H17" s="19"/>
    </row>
    <row r="18" customFormat="false" ht="15" hidden="false" customHeight="true" outlineLevel="0" collapsed="false">
      <c r="A18" s="24" t="s">
        <v>13</v>
      </c>
      <c r="B18" s="24" t="s">
        <v>86</v>
      </c>
      <c r="C18" s="24" t="s">
        <v>344</v>
      </c>
      <c r="D18" s="24" t="s">
        <v>345</v>
      </c>
      <c r="E18" s="24"/>
      <c r="F18" s="24" t="n">
        <v>1</v>
      </c>
      <c r="G18" s="24" t="s">
        <v>1240</v>
      </c>
      <c r="H18" s="24" t="s">
        <v>1274</v>
      </c>
    </row>
    <row r="19" customFormat="false" ht="15" hidden="false" customHeight="true" outlineLevel="0" collapsed="false">
      <c r="A19" s="19" t="s">
        <v>13</v>
      </c>
      <c r="B19" s="19" t="s">
        <v>614</v>
      </c>
      <c r="C19" s="19" t="s">
        <v>330</v>
      </c>
      <c r="D19" s="19" t="s">
        <v>331</v>
      </c>
      <c r="E19" s="19"/>
      <c r="F19" s="19" t="n">
        <v>0</v>
      </c>
      <c r="G19" s="19"/>
      <c r="H19" s="19"/>
    </row>
    <row r="20" customFormat="false" ht="15" hidden="false" customHeight="true" outlineLevel="0" collapsed="false">
      <c r="A20" s="23" t="s">
        <v>13</v>
      </c>
      <c r="B20" s="23" t="s">
        <v>616</v>
      </c>
      <c r="C20" s="23" t="s">
        <v>1268</v>
      </c>
      <c r="D20" s="23" t="s">
        <v>1269</v>
      </c>
      <c r="E20" s="23" t="s">
        <v>1275</v>
      </c>
      <c r="F20" s="23" t="n">
        <v>2</v>
      </c>
      <c r="G20" s="23" t="s">
        <v>1276</v>
      </c>
      <c r="H20" s="23" t="s">
        <v>1277</v>
      </c>
    </row>
    <row r="21" customFormat="false" ht="15" hidden="false" customHeight="true" outlineLevel="0" collapsed="false">
      <c r="A21" s="23" t="s">
        <v>13</v>
      </c>
      <c r="B21" s="23" t="s">
        <v>618</v>
      </c>
      <c r="C21" s="23" t="s">
        <v>1268</v>
      </c>
      <c r="D21" s="23" t="s">
        <v>1269</v>
      </c>
      <c r="E21" s="23" t="s">
        <v>1275</v>
      </c>
      <c r="F21" s="23" t="n">
        <v>3</v>
      </c>
      <c r="G21" s="23" t="s">
        <v>1278</v>
      </c>
      <c r="H21" s="23" t="s">
        <v>1279</v>
      </c>
    </row>
    <row r="22" customFormat="false" ht="15" hidden="false" customHeight="true" outlineLevel="0" collapsed="false">
      <c r="A22" s="19" t="s">
        <v>233</v>
      </c>
      <c r="B22" s="19" t="s">
        <v>213</v>
      </c>
      <c r="C22" s="19" t="s">
        <v>344</v>
      </c>
      <c r="D22" s="19" t="s">
        <v>345</v>
      </c>
      <c r="E22" s="19" t="s">
        <v>1280</v>
      </c>
      <c r="F22" s="19" t="n">
        <v>0</v>
      </c>
      <c r="G22" s="19"/>
      <c r="H22" s="19"/>
    </row>
    <row r="23" customFormat="false" ht="15" hidden="false" customHeight="true" outlineLevel="0" collapsed="false">
      <c r="A23" s="19" t="s">
        <v>233</v>
      </c>
      <c r="B23" s="19" t="s">
        <v>197</v>
      </c>
      <c r="C23" s="19" t="s">
        <v>344</v>
      </c>
      <c r="D23" s="19" t="s">
        <v>345</v>
      </c>
      <c r="E23" s="19"/>
      <c r="F23" s="19" t="n">
        <v>0</v>
      </c>
      <c r="G23" s="19"/>
      <c r="H23" s="19"/>
    </row>
    <row r="24" customFormat="false" ht="15" hidden="false" customHeight="true" outlineLevel="0" collapsed="false">
      <c r="A24" s="19" t="s">
        <v>233</v>
      </c>
      <c r="B24" s="19" t="s">
        <v>93</v>
      </c>
      <c r="C24" s="19" t="s">
        <v>344</v>
      </c>
      <c r="D24" s="19" t="s">
        <v>345</v>
      </c>
      <c r="E24" s="19"/>
      <c r="F24" s="19" t="n">
        <v>0</v>
      </c>
      <c r="G24" s="19"/>
      <c r="H24" s="19"/>
    </row>
    <row r="25" customFormat="false" ht="15" hidden="false" customHeight="true" outlineLevel="0" collapsed="false">
      <c r="A25" s="19" t="s">
        <v>233</v>
      </c>
      <c r="B25" s="19" t="s">
        <v>89</v>
      </c>
      <c r="C25" s="19" t="s">
        <v>344</v>
      </c>
      <c r="D25" s="19" t="s">
        <v>345</v>
      </c>
      <c r="E25" s="19"/>
      <c r="F25" s="19" t="n">
        <v>0</v>
      </c>
      <c r="G25" s="19"/>
      <c r="H25" s="19"/>
    </row>
    <row r="26" customFormat="false" ht="15" hidden="false" customHeight="true" outlineLevel="0" collapsed="false">
      <c r="A26" s="19" t="s">
        <v>233</v>
      </c>
      <c r="B26" s="19" t="s">
        <v>422</v>
      </c>
      <c r="C26" s="19" t="s">
        <v>344</v>
      </c>
      <c r="D26" s="19" t="s">
        <v>345</v>
      </c>
      <c r="E26" s="19"/>
      <c r="F26" s="19" t="n">
        <v>0</v>
      </c>
      <c r="G26" s="19"/>
      <c r="H26" s="19"/>
    </row>
    <row r="27" customFormat="false" ht="15" hidden="false" customHeight="true" outlineLevel="0" collapsed="false">
      <c r="A27" s="19" t="s">
        <v>233</v>
      </c>
      <c r="B27" s="19" t="s">
        <v>14</v>
      </c>
      <c r="C27" s="19" t="s">
        <v>344</v>
      </c>
      <c r="D27" s="19" t="s">
        <v>345</v>
      </c>
      <c r="E27" s="19"/>
      <c r="F27" s="19" t="n">
        <v>0</v>
      </c>
      <c r="G27" s="19"/>
      <c r="H27" s="19"/>
    </row>
    <row r="28" customFormat="false" ht="15" hidden="false" customHeight="true" outlineLevel="0" collapsed="false">
      <c r="A28" s="19" t="s">
        <v>233</v>
      </c>
      <c r="B28" s="19" t="s">
        <v>20</v>
      </c>
      <c r="C28" s="19" t="s">
        <v>344</v>
      </c>
      <c r="D28" s="19" t="s">
        <v>345</v>
      </c>
      <c r="E28" s="19"/>
      <c r="F28" s="19" t="n">
        <v>0</v>
      </c>
      <c r="G28" s="19"/>
      <c r="H28" s="19"/>
    </row>
    <row r="29" customFormat="false" ht="15" hidden="false" customHeight="true" outlineLevel="0" collapsed="false">
      <c r="A29" s="19" t="s">
        <v>233</v>
      </c>
      <c r="B29" s="19" t="s">
        <v>23</v>
      </c>
      <c r="C29" s="19" t="s">
        <v>344</v>
      </c>
      <c r="D29" s="19" t="s">
        <v>345</v>
      </c>
      <c r="E29" s="19"/>
      <c r="F29" s="19" t="n">
        <v>0</v>
      </c>
      <c r="G29" s="19"/>
      <c r="H29" s="19"/>
    </row>
    <row r="30" customFormat="false" ht="15" hidden="false" customHeight="true" outlineLevel="0" collapsed="false">
      <c r="A30" s="19" t="s">
        <v>233</v>
      </c>
      <c r="B30" s="19" t="s">
        <v>71</v>
      </c>
      <c r="C30" s="19" t="s">
        <v>344</v>
      </c>
      <c r="D30" s="19" t="s">
        <v>345</v>
      </c>
      <c r="E30" s="19"/>
      <c r="F30" s="19" t="n">
        <v>0</v>
      </c>
      <c r="G30" s="19"/>
      <c r="H30" s="19"/>
    </row>
    <row r="31" customFormat="false" ht="15" hidden="false" customHeight="true" outlineLevel="0" collapsed="false">
      <c r="A31" s="19" t="s">
        <v>233</v>
      </c>
      <c r="B31" s="19" t="s">
        <v>26</v>
      </c>
      <c r="C31" s="19" t="s">
        <v>344</v>
      </c>
      <c r="D31" s="19" t="s">
        <v>345</v>
      </c>
      <c r="E31" s="19"/>
      <c r="F31" s="19" t="n">
        <v>0</v>
      </c>
      <c r="G31" s="19"/>
      <c r="H31" s="19"/>
    </row>
    <row r="32" customFormat="false" ht="15" hidden="false" customHeight="true" outlineLevel="0" collapsed="false">
      <c r="A32" s="19" t="s">
        <v>233</v>
      </c>
      <c r="B32" s="19" t="s">
        <v>29</v>
      </c>
      <c r="C32" s="19" t="s">
        <v>344</v>
      </c>
      <c r="D32" s="19" t="s">
        <v>345</v>
      </c>
      <c r="E32" s="19"/>
      <c r="F32" s="19" t="n">
        <v>0</v>
      </c>
      <c r="G32" s="19"/>
      <c r="H32" s="19"/>
    </row>
    <row r="33" customFormat="false" ht="15" hidden="false" customHeight="true" outlineLevel="0" collapsed="false">
      <c r="A33" s="23" t="s">
        <v>233</v>
      </c>
      <c r="B33" s="23" t="s">
        <v>32</v>
      </c>
      <c r="C33" s="23" t="s">
        <v>1268</v>
      </c>
      <c r="D33" s="23" t="s">
        <v>1269</v>
      </c>
      <c r="E33" s="23" t="s">
        <v>1275</v>
      </c>
      <c r="F33" s="23" t="n">
        <v>0</v>
      </c>
      <c r="G33" s="23"/>
      <c r="H33" s="23" t="s">
        <v>1271</v>
      </c>
    </row>
    <row r="34" customFormat="false" ht="15" hidden="false" customHeight="true" outlineLevel="0" collapsed="false">
      <c r="A34" s="19" t="s">
        <v>88</v>
      </c>
      <c r="B34" s="19" t="s">
        <v>213</v>
      </c>
      <c r="C34" s="19" t="s">
        <v>1281</v>
      </c>
      <c r="D34" s="19" t="s">
        <v>345</v>
      </c>
      <c r="E34" s="19" t="s">
        <v>1223</v>
      </c>
      <c r="F34" s="19" t="n">
        <v>0</v>
      </c>
      <c r="G34" s="19"/>
      <c r="H34" s="19"/>
    </row>
    <row r="35" customFormat="false" ht="15" hidden="false" customHeight="true" outlineLevel="0" collapsed="false">
      <c r="A35" s="19" t="s">
        <v>88</v>
      </c>
      <c r="B35" s="19" t="s">
        <v>197</v>
      </c>
      <c r="C35" s="19" t="s">
        <v>1281</v>
      </c>
      <c r="D35" s="19" t="s">
        <v>345</v>
      </c>
      <c r="E35" s="19" t="s">
        <v>1223</v>
      </c>
      <c r="F35" s="19" t="n">
        <v>0</v>
      </c>
      <c r="G35" s="19"/>
      <c r="H35" s="19"/>
    </row>
    <row r="36" customFormat="false" ht="15" hidden="false" customHeight="true" outlineLevel="0" collapsed="false">
      <c r="A36" s="19" t="s">
        <v>88</v>
      </c>
      <c r="B36" s="19" t="s">
        <v>93</v>
      </c>
      <c r="C36" s="19" t="s">
        <v>1281</v>
      </c>
      <c r="D36" s="19" t="s">
        <v>345</v>
      </c>
      <c r="E36" s="19" t="s">
        <v>1223</v>
      </c>
      <c r="F36" s="19" t="n">
        <v>0</v>
      </c>
      <c r="G36" s="19"/>
      <c r="H36" s="19"/>
    </row>
    <row r="37" customFormat="false" ht="15" hidden="false" customHeight="true" outlineLevel="0" collapsed="false">
      <c r="A37" s="17" t="s">
        <v>88</v>
      </c>
      <c r="B37" s="17" t="s">
        <v>89</v>
      </c>
      <c r="C37" s="17" t="s">
        <v>1281</v>
      </c>
      <c r="D37" s="17" t="s">
        <v>345</v>
      </c>
      <c r="E37" s="17" t="s">
        <v>1223</v>
      </c>
      <c r="F37" s="17" t="n">
        <v>1</v>
      </c>
      <c r="G37" s="17" t="s">
        <v>1282</v>
      </c>
      <c r="H37" s="17" t="s">
        <v>1283</v>
      </c>
    </row>
    <row r="38" customFormat="false" ht="15" hidden="false" customHeight="true" outlineLevel="0" collapsed="false">
      <c r="A38" s="19" t="s">
        <v>88</v>
      </c>
      <c r="B38" s="19" t="s">
        <v>422</v>
      </c>
      <c r="C38" s="19" t="s">
        <v>1281</v>
      </c>
      <c r="D38" s="19" t="s">
        <v>345</v>
      </c>
      <c r="E38" s="19" t="s">
        <v>1223</v>
      </c>
      <c r="F38" s="19" t="n">
        <v>0</v>
      </c>
      <c r="G38" s="19"/>
      <c r="H38" s="19"/>
    </row>
    <row r="39" customFormat="false" ht="15" hidden="false" customHeight="true" outlineLevel="0" collapsed="false">
      <c r="A39" s="19" t="s">
        <v>88</v>
      </c>
      <c r="B39" s="19" t="s">
        <v>14</v>
      </c>
      <c r="C39" s="19" t="s">
        <v>1281</v>
      </c>
      <c r="D39" s="19" t="s">
        <v>345</v>
      </c>
      <c r="E39" s="19" t="s">
        <v>1223</v>
      </c>
      <c r="F39" s="19" t="n">
        <v>0</v>
      </c>
      <c r="G39" s="19"/>
      <c r="H39" s="19"/>
    </row>
    <row r="40" customFormat="false" ht="15" hidden="false" customHeight="true" outlineLevel="0" collapsed="false">
      <c r="A40" s="19" t="s">
        <v>88</v>
      </c>
      <c r="B40" s="19" t="s">
        <v>20</v>
      </c>
      <c r="C40" s="19" t="s">
        <v>1281</v>
      </c>
      <c r="D40" s="19" t="s">
        <v>345</v>
      </c>
      <c r="E40" s="19" t="s">
        <v>1223</v>
      </c>
      <c r="F40" s="19" t="n">
        <v>0</v>
      </c>
      <c r="G40" s="19"/>
      <c r="H40" s="19"/>
    </row>
    <row r="41" customFormat="false" ht="15" hidden="false" customHeight="true" outlineLevel="0" collapsed="false">
      <c r="A41" s="19" t="s">
        <v>88</v>
      </c>
      <c r="B41" s="19" t="s">
        <v>23</v>
      </c>
      <c r="C41" s="19" t="s">
        <v>1281</v>
      </c>
      <c r="D41" s="19" t="s">
        <v>345</v>
      </c>
      <c r="E41" s="19" t="s">
        <v>1223</v>
      </c>
      <c r="F41" s="19" t="n">
        <v>0</v>
      </c>
      <c r="G41" s="19"/>
      <c r="H41" s="19"/>
    </row>
    <row r="42" customFormat="false" ht="15" hidden="false" customHeight="true" outlineLevel="0" collapsed="false">
      <c r="A42" s="19" t="s">
        <v>88</v>
      </c>
      <c r="B42" s="19" t="s">
        <v>71</v>
      </c>
      <c r="C42" s="19" t="s">
        <v>1281</v>
      </c>
      <c r="D42" s="19" t="s">
        <v>345</v>
      </c>
      <c r="E42" s="19" t="s">
        <v>1223</v>
      </c>
      <c r="F42" s="19" t="n">
        <v>0</v>
      </c>
      <c r="G42" s="19"/>
      <c r="H42" s="19"/>
    </row>
    <row r="43" customFormat="false" ht="15" hidden="false" customHeight="true" outlineLevel="0" collapsed="false">
      <c r="A43" s="19" t="s">
        <v>88</v>
      </c>
      <c r="B43" s="19" t="s">
        <v>26</v>
      </c>
      <c r="C43" s="19" t="s">
        <v>1281</v>
      </c>
      <c r="D43" s="19" t="s">
        <v>345</v>
      </c>
      <c r="E43" s="19" t="s">
        <v>1223</v>
      </c>
      <c r="F43" s="19" t="n">
        <v>0</v>
      </c>
      <c r="G43" s="19"/>
      <c r="H43" s="19"/>
    </row>
    <row r="44" customFormat="false" ht="15" hidden="false" customHeight="true" outlineLevel="0" collapsed="false">
      <c r="A44" s="19" t="s">
        <v>88</v>
      </c>
      <c r="B44" s="19" t="s">
        <v>29</v>
      </c>
      <c r="C44" s="19" t="s">
        <v>1281</v>
      </c>
      <c r="D44" s="19" t="s">
        <v>345</v>
      </c>
      <c r="E44" s="19" t="s">
        <v>1223</v>
      </c>
      <c r="F44" s="19" t="n">
        <v>0</v>
      </c>
      <c r="G44" s="19"/>
      <c r="H44" s="19"/>
    </row>
    <row r="45" customFormat="false" ht="15" hidden="false" customHeight="true" outlineLevel="0" collapsed="false">
      <c r="A45" s="23" t="s">
        <v>88</v>
      </c>
      <c r="B45" s="23" t="s">
        <v>32</v>
      </c>
      <c r="C45" s="23" t="s">
        <v>1268</v>
      </c>
      <c r="D45" s="23" t="s">
        <v>1269</v>
      </c>
      <c r="E45" s="23" t="s">
        <v>1275</v>
      </c>
      <c r="F45" s="23" t="n">
        <v>0</v>
      </c>
      <c r="G45" s="23"/>
      <c r="H45" s="23" t="s">
        <v>1271</v>
      </c>
    </row>
    <row r="46" customFormat="false" ht="15" hidden="false" customHeight="true" outlineLevel="0" collapsed="false">
      <c r="A46" s="23" t="s">
        <v>70</v>
      </c>
      <c r="B46" s="23" t="s">
        <v>213</v>
      </c>
      <c r="C46" s="23" t="s">
        <v>1268</v>
      </c>
      <c r="D46" s="23" t="s">
        <v>1269</v>
      </c>
      <c r="E46" s="23" t="s">
        <v>1284</v>
      </c>
      <c r="F46" s="23" t="n">
        <v>0</v>
      </c>
      <c r="G46" s="23"/>
      <c r="H46" s="23" t="s">
        <v>1271</v>
      </c>
    </row>
    <row r="47" customFormat="false" ht="15" hidden="false" customHeight="true" outlineLevel="0" collapsed="false">
      <c r="A47" s="17" t="s">
        <v>70</v>
      </c>
      <c r="B47" s="17" t="s">
        <v>93</v>
      </c>
      <c r="C47" s="17" t="s">
        <v>1230</v>
      </c>
      <c r="D47" s="17" t="s">
        <v>331</v>
      </c>
      <c r="E47" s="17" t="s">
        <v>1223</v>
      </c>
      <c r="F47" s="17" t="n">
        <v>1</v>
      </c>
      <c r="G47" s="17" t="s">
        <v>1285</v>
      </c>
      <c r="H47" s="17" t="s">
        <v>1286</v>
      </c>
    </row>
    <row r="48" customFormat="false" ht="15" hidden="false" customHeight="true" outlineLevel="0" collapsed="false">
      <c r="A48" s="17" t="s">
        <v>70</v>
      </c>
      <c r="B48" s="17" t="s">
        <v>71</v>
      </c>
      <c r="C48" s="17" t="s">
        <v>1230</v>
      </c>
      <c r="D48" s="17" t="s">
        <v>331</v>
      </c>
      <c r="E48" s="17" t="s">
        <v>1223</v>
      </c>
      <c r="F48" s="17" t="n">
        <v>1</v>
      </c>
      <c r="G48" s="17" t="s">
        <v>1287</v>
      </c>
      <c r="H48" s="17" t="s">
        <v>1288</v>
      </c>
    </row>
    <row r="49" customFormat="false" ht="15" hidden="false" customHeight="true" outlineLevel="0" collapsed="false">
      <c r="A49" s="23" t="s">
        <v>70</v>
      </c>
      <c r="B49" s="23" t="s">
        <v>26</v>
      </c>
      <c r="C49" s="23" t="s">
        <v>1268</v>
      </c>
      <c r="D49" s="23" t="s">
        <v>1269</v>
      </c>
      <c r="E49" s="23" t="s">
        <v>1223</v>
      </c>
      <c r="F49" s="23" t="n">
        <v>0</v>
      </c>
      <c r="G49" s="23"/>
      <c r="H49" s="23" t="s">
        <v>1271</v>
      </c>
    </row>
    <row r="50" customFormat="false" ht="15" hidden="false" customHeight="true" outlineLevel="0" collapsed="false">
      <c r="A50" s="19" t="s">
        <v>70</v>
      </c>
      <c r="B50" s="19" t="s">
        <v>29</v>
      </c>
      <c r="C50" s="19" t="s">
        <v>1223</v>
      </c>
      <c r="D50" s="19" t="s">
        <v>538</v>
      </c>
      <c r="E50" s="19"/>
      <c r="F50" s="19" t="n">
        <v>0</v>
      </c>
      <c r="G50" s="19"/>
      <c r="H50" s="19"/>
    </row>
    <row r="51" customFormat="false" ht="15" hidden="false" customHeight="true" outlineLevel="0" collapsed="false">
      <c r="A51" s="23" t="s">
        <v>70</v>
      </c>
      <c r="B51" s="23" t="s">
        <v>32</v>
      </c>
      <c r="C51" s="23" t="s">
        <v>1268</v>
      </c>
      <c r="D51" s="23" t="s">
        <v>1269</v>
      </c>
      <c r="E51" s="23" t="s">
        <v>1223</v>
      </c>
      <c r="F51" s="23" t="n">
        <v>0</v>
      </c>
      <c r="G51" s="23"/>
      <c r="H51" s="23" t="s">
        <v>1271</v>
      </c>
    </row>
    <row r="52" customFormat="false" ht="15" hidden="false" customHeight="true" outlineLevel="0" collapsed="false">
      <c r="A52" s="19" t="s">
        <v>95</v>
      </c>
      <c r="B52" s="19" t="s">
        <v>32</v>
      </c>
      <c r="C52" s="19" t="s">
        <v>325</v>
      </c>
      <c r="D52" s="19" t="s">
        <v>538</v>
      </c>
      <c r="E52" s="19" t="s">
        <v>1272</v>
      </c>
      <c r="F52" s="19" t="n">
        <v>0</v>
      </c>
      <c r="G52" s="19"/>
      <c r="H52" s="19"/>
    </row>
    <row r="53" customFormat="false" ht="15" hidden="false" customHeight="true" outlineLevel="0" collapsed="false">
      <c r="A53" s="19" t="s">
        <v>95</v>
      </c>
      <c r="B53" s="19" t="s">
        <v>328</v>
      </c>
      <c r="C53" s="19" t="s">
        <v>330</v>
      </c>
      <c r="D53" s="19" t="s">
        <v>331</v>
      </c>
      <c r="E53" s="19"/>
      <c r="F53" s="19" t="n">
        <v>0</v>
      </c>
      <c r="G53" s="19"/>
      <c r="H53" s="19"/>
    </row>
    <row r="54" customFormat="false" ht="15" hidden="false" customHeight="true" outlineLevel="0" collapsed="false">
      <c r="A54" s="24" t="s">
        <v>95</v>
      </c>
      <c r="B54" s="24" t="s">
        <v>96</v>
      </c>
      <c r="C54" s="24" t="s">
        <v>325</v>
      </c>
      <c r="D54" s="24" t="s">
        <v>538</v>
      </c>
      <c r="E54" s="24"/>
      <c r="F54" s="24" t="n">
        <v>1</v>
      </c>
      <c r="G54" s="24" t="s">
        <v>1289</v>
      </c>
      <c r="H54" s="24"/>
    </row>
    <row r="55" customFormat="false" ht="15" hidden="false" customHeight="true" outlineLevel="0" collapsed="false">
      <c r="A55" s="19" t="s">
        <v>95</v>
      </c>
      <c r="B55" s="19" t="s">
        <v>338</v>
      </c>
      <c r="C55" s="19" t="s">
        <v>330</v>
      </c>
      <c r="D55" s="19" t="s">
        <v>331</v>
      </c>
      <c r="E55" s="19"/>
      <c r="F55" s="19" t="n">
        <v>0</v>
      </c>
      <c r="G55" s="19"/>
      <c r="H55" s="19"/>
    </row>
    <row r="56" customFormat="false" ht="15" hidden="false" customHeight="true" outlineLevel="0" collapsed="false">
      <c r="A56" s="17" t="s">
        <v>95</v>
      </c>
      <c r="B56" s="17" t="s">
        <v>99</v>
      </c>
      <c r="C56" s="17" t="s">
        <v>330</v>
      </c>
      <c r="D56" s="17" t="s">
        <v>331</v>
      </c>
      <c r="E56" s="17"/>
      <c r="F56" s="17" t="n">
        <v>1</v>
      </c>
      <c r="G56" s="17" t="s">
        <v>1290</v>
      </c>
      <c r="H56" s="17" t="s">
        <v>1291</v>
      </c>
    </row>
    <row r="57" customFormat="false" ht="15" hidden="false" customHeight="true" outlineLevel="0" collapsed="false">
      <c r="A57" s="17" t="s">
        <v>95</v>
      </c>
      <c r="B57" s="17" t="s">
        <v>812</v>
      </c>
      <c r="C57" s="17" t="s">
        <v>330</v>
      </c>
      <c r="D57" s="17" t="s">
        <v>345</v>
      </c>
      <c r="E57" s="17"/>
      <c r="F57" s="17" t="n">
        <v>0</v>
      </c>
      <c r="G57" s="17"/>
      <c r="H57" s="17" t="s">
        <v>1292</v>
      </c>
    </row>
    <row r="58" customFormat="false" ht="15" hidden="false" customHeight="true" outlineLevel="0" collapsed="false">
      <c r="A58" s="19" t="s">
        <v>95</v>
      </c>
      <c r="B58" s="19" t="s">
        <v>339</v>
      </c>
      <c r="C58" s="19" t="s">
        <v>330</v>
      </c>
      <c r="D58" s="19" t="s">
        <v>331</v>
      </c>
      <c r="E58" s="19"/>
      <c r="F58" s="19" t="n">
        <v>0</v>
      </c>
      <c r="G58" s="19"/>
      <c r="H58" s="19"/>
    </row>
    <row r="59" customFormat="false" ht="15" hidden="false" customHeight="true" outlineLevel="0" collapsed="false">
      <c r="A59" s="19" t="s">
        <v>95</v>
      </c>
      <c r="B59" s="19" t="s">
        <v>341</v>
      </c>
      <c r="C59" s="19" t="s">
        <v>330</v>
      </c>
      <c r="D59" s="19" t="s">
        <v>331</v>
      </c>
      <c r="E59" s="19"/>
      <c r="F59" s="19" t="n">
        <v>0</v>
      </c>
      <c r="G59" s="19"/>
      <c r="H59" s="19"/>
    </row>
    <row r="60" customFormat="false" ht="15" hidden="false" customHeight="true" outlineLevel="0" collapsed="false">
      <c r="A60" s="17" t="s">
        <v>95</v>
      </c>
      <c r="B60" s="17" t="s">
        <v>103</v>
      </c>
      <c r="C60" s="17" t="s">
        <v>330</v>
      </c>
      <c r="D60" s="17" t="s">
        <v>331</v>
      </c>
      <c r="E60" s="17"/>
      <c r="F60" s="17" t="n">
        <v>1</v>
      </c>
      <c r="G60" s="17" t="s">
        <v>1293</v>
      </c>
      <c r="H60" s="17" t="s">
        <v>1291</v>
      </c>
    </row>
    <row r="61" customFormat="false" ht="15" hidden="false" customHeight="true" outlineLevel="0" collapsed="false">
      <c r="A61" s="19" t="s">
        <v>95</v>
      </c>
      <c r="B61" s="19" t="s">
        <v>342</v>
      </c>
      <c r="C61" s="19" t="s">
        <v>330</v>
      </c>
      <c r="D61" s="19" t="s">
        <v>331</v>
      </c>
      <c r="E61" s="19"/>
      <c r="F61" s="19" t="n">
        <v>0</v>
      </c>
      <c r="G61" s="19"/>
      <c r="H61" s="19"/>
    </row>
    <row r="62" customFormat="false" ht="15" hidden="false" customHeight="true" outlineLevel="0" collapsed="false">
      <c r="A62" s="19" t="s">
        <v>95</v>
      </c>
      <c r="B62" s="19" t="s">
        <v>343</v>
      </c>
      <c r="C62" s="19" t="s">
        <v>344</v>
      </c>
      <c r="D62" s="19" t="s">
        <v>345</v>
      </c>
      <c r="E62" s="19"/>
      <c r="F62" s="19" t="n">
        <v>0</v>
      </c>
      <c r="G62" s="19"/>
      <c r="H62" s="19"/>
    </row>
    <row r="63" customFormat="false" ht="15" hidden="false" customHeight="true" outlineLevel="0" collapsed="false">
      <c r="A63" s="17" t="s">
        <v>95</v>
      </c>
      <c r="B63" s="17" t="s">
        <v>105</v>
      </c>
      <c r="C63" s="17" t="s">
        <v>344</v>
      </c>
      <c r="D63" s="17" t="s">
        <v>345</v>
      </c>
      <c r="E63" s="17"/>
      <c r="F63" s="17" t="n">
        <v>1</v>
      </c>
      <c r="G63" s="17" t="s">
        <v>1294</v>
      </c>
      <c r="H63" s="17" t="s">
        <v>1283</v>
      </c>
    </row>
    <row r="64" customFormat="false" ht="15" hidden="false" customHeight="true" outlineLevel="0" collapsed="false">
      <c r="A64" s="19" t="s">
        <v>95</v>
      </c>
      <c r="B64" s="19" t="s">
        <v>143</v>
      </c>
      <c r="C64" s="19" t="s">
        <v>344</v>
      </c>
      <c r="D64" s="19" t="s">
        <v>345</v>
      </c>
      <c r="E64" s="19"/>
      <c r="F64" s="19" t="n">
        <v>0</v>
      </c>
      <c r="G64" s="19"/>
      <c r="H64" s="19"/>
    </row>
    <row r="65" customFormat="false" ht="15" hidden="false" customHeight="true" outlineLevel="0" collapsed="false">
      <c r="A65" s="19" t="s">
        <v>95</v>
      </c>
      <c r="B65" s="19" t="s">
        <v>346</v>
      </c>
      <c r="C65" s="19" t="s">
        <v>344</v>
      </c>
      <c r="D65" s="19" t="s">
        <v>345</v>
      </c>
      <c r="E65" s="19"/>
      <c r="F65" s="19" t="n">
        <v>0</v>
      </c>
      <c r="G65" s="19"/>
      <c r="H65" s="19"/>
    </row>
    <row r="66" customFormat="false" ht="15" hidden="false" customHeight="true" outlineLevel="0" collapsed="false">
      <c r="A66" s="19" t="s">
        <v>95</v>
      </c>
      <c r="B66" s="19" t="s">
        <v>348</v>
      </c>
      <c r="C66" s="19" t="s">
        <v>344</v>
      </c>
      <c r="D66" s="19" t="s">
        <v>345</v>
      </c>
      <c r="E66" s="19"/>
      <c r="F66" s="19" t="n">
        <v>0</v>
      </c>
      <c r="G66" s="19"/>
      <c r="H66" s="19"/>
    </row>
    <row r="67" customFormat="false" ht="15" hidden="false" customHeight="true" outlineLevel="0" collapsed="false">
      <c r="A67" s="19" t="s">
        <v>95</v>
      </c>
      <c r="B67" s="19" t="s">
        <v>349</v>
      </c>
      <c r="C67" s="19" t="s">
        <v>344</v>
      </c>
      <c r="D67" s="19" t="s">
        <v>345</v>
      </c>
      <c r="E67" s="19"/>
      <c r="F67" s="19" t="n">
        <v>0</v>
      </c>
      <c r="G67" s="19"/>
      <c r="H67" s="19"/>
    </row>
    <row r="68" customFormat="false" ht="15" hidden="false" customHeight="true" outlineLevel="0" collapsed="false">
      <c r="A68" s="19" t="s">
        <v>95</v>
      </c>
      <c r="B68" s="19" t="s">
        <v>350</v>
      </c>
      <c r="C68" s="19" t="s">
        <v>344</v>
      </c>
      <c r="D68" s="19" t="s">
        <v>345</v>
      </c>
      <c r="E68" s="19"/>
      <c r="F68" s="19" t="n">
        <v>0</v>
      </c>
      <c r="G68" s="19"/>
      <c r="H68" s="19"/>
    </row>
    <row r="69" customFormat="false" ht="15" hidden="false" customHeight="true" outlineLevel="0" collapsed="false">
      <c r="A69" s="19" t="s">
        <v>95</v>
      </c>
      <c r="B69" s="19" t="s">
        <v>351</v>
      </c>
      <c r="C69" s="19" t="s">
        <v>344</v>
      </c>
      <c r="D69" s="19" t="s">
        <v>345</v>
      </c>
      <c r="E69" s="19"/>
      <c r="F69" s="19" t="n">
        <v>0</v>
      </c>
      <c r="G69" s="19"/>
      <c r="H69" s="19"/>
    </row>
    <row r="70" customFormat="false" ht="15" hidden="false" customHeight="true" outlineLevel="0" collapsed="false">
      <c r="A70" s="19" t="s">
        <v>95</v>
      </c>
      <c r="B70" s="19" t="s">
        <v>352</v>
      </c>
      <c r="C70" s="19" t="s">
        <v>344</v>
      </c>
      <c r="D70" s="19" t="s">
        <v>345</v>
      </c>
      <c r="E70" s="19"/>
      <c r="F70" s="19" t="n">
        <v>0</v>
      </c>
      <c r="G70" s="19"/>
      <c r="H70" s="19"/>
    </row>
    <row r="71" customFormat="false" ht="15" hidden="false" customHeight="true" outlineLevel="0" collapsed="false">
      <c r="A71" s="17" t="s">
        <v>95</v>
      </c>
      <c r="B71" s="17" t="s">
        <v>353</v>
      </c>
      <c r="C71" s="17" t="s">
        <v>344</v>
      </c>
      <c r="D71" s="17" t="s">
        <v>345</v>
      </c>
      <c r="E71" s="17"/>
      <c r="F71" s="17" t="n">
        <v>0</v>
      </c>
      <c r="G71" s="17"/>
      <c r="H71" s="17" t="s">
        <v>1295</v>
      </c>
    </row>
    <row r="72" customFormat="false" ht="15" hidden="false" customHeight="true" outlineLevel="0" collapsed="false">
      <c r="A72" s="19" t="s">
        <v>95</v>
      </c>
      <c r="B72" s="19" t="s">
        <v>356</v>
      </c>
      <c r="C72" s="19" t="s">
        <v>344</v>
      </c>
      <c r="D72" s="19" t="s">
        <v>345</v>
      </c>
      <c r="E72" s="19"/>
      <c r="F72" s="19" t="n">
        <v>0</v>
      </c>
      <c r="G72" s="19"/>
      <c r="H72" s="19"/>
    </row>
    <row r="73" customFormat="false" ht="15" hidden="false" customHeight="true" outlineLevel="0" collapsed="false">
      <c r="A73" s="19" t="s">
        <v>95</v>
      </c>
      <c r="B73" s="19" t="s">
        <v>145</v>
      </c>
      <c r="C73" s="19" t="s">
        <v>357</v>
      </c>
      <c r="D73" s="19" t="s">
        <v>358</v>
      </c>
      <c r="E73" s="19"/>
      <c r="F73" s="19" t="n">
        <v>0</v>
      </c>
      <c r="G73" s="19"/>
      <c r="H73" s="19"/>
    </row>
    <row r="74" customFormat="false" ht="15" hidden="false" customHeight="true" outlineLevel="0" collapsed="false">
      <c r="A74" s="17" t="s">
        <v>95</v>
      </c>
      <c r="B74" s="17" t="s">
        <v>108</v>
      </c>
      <c r="C74" s="17" t="s">
        <v>357</v>
      </c>
      <c r="D74" s="17" t="s">
        <v>358</v>
      </c>
      <c r="E74" s="17"/>
      <c r="F74" s="17" t="n">
        <v>1</v>
      </c>
      <c r="G74" s="17" t="s">
        <v>1296</v>
      </c>
      <c r="H74" s="17" t="s">
        <v>1283</v>
      </c>
    </row>
    <row r="75" customFormat="false" ht="15" hidden="false" customHeight="true" outlineLevel="0" collapsed="false">
      <c r="A75" s="17" t="s">
        <v>95</v>
      </c>
      <c r="B75" s="17" t="s">
        <v>111</v>
      </c>
      <c r="C75" s="17" t="s">
        <v>344</v>
      </c>
      <c r="D75" s="17" t="s">
        <v>345</v>
      </c>
      <c r="E75" s="17"/>
      <c r="F75" s="17" t="n">
        <v>1</v>
      </c>
      <c r="G75" s="17" t="s">
        <v>1297</v>
      </c>
      <c r="H75" s="17" t="s">
        <v>1283</v>
      </c>
    </row>
    <row r="76" customFormat="false" ht="15" hidden="false" customHeight="true" outlineLevel="0" collapsed="false">
      <c r="A76" s="17" t="s">
        <v>95</v>
      </c>
      <c r="B76" s="17" t="s">
        <v>113</v>
      </c>
      <c r="C76" s="17" t="s">
        <v>344</v>
      </c>
      <c r="D76" s="17" t="s">
        <v>345</v>
      </c>
      <c r="E76" s="17"/>
      <c r="F76" s="17" t="n">
        <v>1</v>
      </c>
      <c r="G76" s="17" t="s">
        <v>1298</v>
      </c>
      <c r="H76" s="17" t="s">
        <v>1283</v>
      </c>
    </row>
    <row r="77" customFormat="false" ht="15" hidden="false" customHeight="true" outlineLevel="0" collapsed="false">
      <c r="A77" s="17" t="s">
        <v>95</v>
      </c>
      <c r="B77" s="17" t="s">
        <v>116</v>
      </c>
      <c r="C77" s="17" t="s">
        <v>344</v>
      </c>
      <c r="D77" s="17" t="s">
        <v>345</v>
      </c>
      <c r="E77" s="17"/>
      <c r="F77" s="17" t="n">
        <v>1</v>
      </c>
      <c r="G77" s="17" t="s">
        <v>1299</v>
      </c>
      <c r="H77" s="17" t="s">
        <v>1283</v>
      </c>
    </row>
    <row r="78" customFormat="false" ht="15" hidden="false" customHeight="true" outlineLevel="0" collapsed="false">
      <c r="A78" s="17" t="s">
        <v>95</v>
      </c>
      <c r="B78" s="17" t="s">
        <v>1029</v>
      </c>
      <c r="C78" s="17" t="s">
        <v>345</v>
      </c>
      <c r="D78" s="17" t="s">
        <v>1300</v>
      </c>
      <c r="E78" s="17"/>
      <c r="F78" s="17" t="n">
        <v>0</v>
      </c>
      <c r="G78" s="17"/>
      <c r="H78" s="17" t="s">
        <v>1301</v>
      </c>
    </row>
    <row r="79" customFormat="false" ht="15" hidden="false" customHeight="true" outlineLevel="0" collapsed="false">
      <c r="A79" s="17" t="s">
        <v>95</v>
      </c>
      <c r="B79" s="17" t="s">
        <v>397</v>
      </c>
      <c r="C79" s="17" t="s">
        <v>345</v>
      </c>
      <c r="D79" s="17" t="s">
        <v>1300</v>
      </c>
      <c r="E79" s="17"/>
      <c r="F79" s="17" t="n">
        <v>0</v>
      </c>
      <c r="G79" s="17"/>
      <c r="H79" s="17" t="s">
        <v>1302</v>
      </c>
    </row>
    <row r="80" customFormat="false" ht="15" hidden="false" customHeight="true" outlineLevel="0" collapsed="false">
      <c r="A80" s="17" t="s">
        <v>95</v>
      </c>
      <c r="B80" s="17" t="s">
        <v>1032</v>
      </c>
      <c r="C80" s="17" t="s">
        <v>345</v>
      </c>
      <c r="D80" s="17" t="s">
        <v>1300</v>
      </c>
      <c r="E80" s="17"/>
      <c r="F80" s="17" t="n">
        <v>0</v>
      </c>
      <c r="G80" s="17"/>
      <c r="H80" s="17" t="s">
        <v>1303</v>
      </c>
    </row>
    <row r="81" customFormat="false" ht="15" hidden="false" customHeight="true" outlineLevel="0" collapsed="false">
      <c r="A81" s="17" t="s">
        <v>95</v>
      </c>
      <c r="B81" s="17" t="s">
        <v>398</v>
      </c>
      <c r="C81" s="17" t="s">
        <v>345</v>
      </c>
      <c r="D81" s="17" t="s">
        <v>1300</v>
      </c>
      <c r="E81" s="17"/>
      <c r="F81" s="17" t="n">
        <v>0</v>
      </c>
      <c r="G81" s="17"/>
      <c r="H81" s="17" t="s">
        <v>1304</v>
      </c>
    </row>
    <row r="82" customFormat="false" ht="15" hidden="false" customHeight="true" outlineLevel="0" collapsed="false">
      <c r="A82" s="17" t="s">
        <v>95</v>
      </c>
      <c r="B82" s="17" t="s">
        <v>399</v>
      </c>
      <c r="C82" s="17" t="s">
        <v>345</v>
      </c>
      <c r="D82" s="17" t="s">
        <v>1300</v>
      </c>
      <c r="E82" s="17"/>
      <c r="F82" s="17" t="n">
        <v>0</v>
      </c>
      <c r="G82" s="17"/>
      <c r="H82" s="17" t="s">
        <v>1305</v>
      </c>
    </row>
    <row r="83" customFormat="false" ht="15" hidden="false" customHeight="true" outlineLevel="0" collapsed="false">
      <c r="A83" s="17" t="s">
        <v>95</v>
      </c>
      <c r="B83" s="17" t="s">
        <v>168</v>
      </c>
      <c r="C83" s="17" t="s">
        <v>345</v>
      </c>
      <c r="D83" s="17" t="s">
        <v>1300</v>
      </c>
      <c r="E83" s="17"/>
      <c r="F83" s="17" t="n">
        <v>0</v>
      </c>
      <c r="G83" s="17"/>
      <c r="H83" s="17" t="s">
        <v>1306</v>
      </c>
    </row>
    <row r="84" customFormat="false" ht="15" hidden="false" customHeight="true" outlineLevel="0" collapsed="false">
      <c r="A84" s="19" t="s">
        <v>95</v>
      </c>
      <c r="B84" s="19" t="s">
        <v>360</v>
      </c>
      <c r="C84" s="19" t="s">
        <v>344</v>
      </c>
      <c r="D84" s="19" t="s">
        <v>345</v>
      </c>
      <c r="E84" s="19"/>
      <c r="F84" s="19" t="n">
        <v>0</v>
      </c>
      <c r="G84" s="19"/>
      <c r="H84" s="19"/>
    </row>
    <row r="85" customFormat="false" ht="15" hidden="false" customHeight="true" outlineLevel="0" collapsed="false">
      <c r="A85" s="17" t="s">
        <v>95</v>
      </c>
      <c r="B85" s="17" t="s">
        <v>847</v>
      </c>
      <c r="C85" s="17" t="s">
        <v>345</v>
      </c>
      <c r="D85" s="17" t="s">
        <v>1300</v>
      </c>
      <c r="E85" s="17"/>
      <c r="F85" s="17" t="n">
        <v>0</v>
      </c>
      <c r="G85" s="17"/>
      <c r="H85" s="17" t="s">
        <v>1307</v>
      </c>
    </row>
    <row r="86" customFormat="false" ht="15" hidden="false" customHeight="true" outlineLevel="0" collapsed="false">
      <c r="A86" s="17" t="s">
        <v>95</v>
      </c>
      <c r="B86" s="17" t="s">
        <v>147</v>
      </c>
      <c r="C86" s="17" t="s">
        <v>345</v>
      </c>
      <c r="D86" s="17" t="s">
        <v>1300</v>
      </c>
      <c r="E86" s="17"/>
      <c r="F86" s="17" t="n">
        <v>0</v>
      </c>
      <c r="G86" s="17"/>
      <c r="H86" s="17" t="s">
        <v>1308</v>
      </c>
    </row>
    <row r="87" customFormat="false" ht="15" hidden="false" customHeight="true" outlineLevel="0" collapsed="false">
      <c r="A87" s="17" t="s">
        <v>95</v>
      </c>
      <c r="B87" s="17" t="s">
        <v>400</v>
      </c>
      <c r="C87" s="17" t="s">
        <v>345</v>
      </c>
      <c r="D87" s="17" t="s">
        <v>1300</v>
      </c>
      <c r="E87" s="17"/>
      <c r="F87" s="17" t="n">
        <v>0</v>
      </c>
      <c r="G87" s="17"/>
      <c r="H87" s="17" t="s">
        <v>1309</v>
      </c>
    </row>
    <row r="88" customFormat="false" ht="15" hidden="false" customHeight="true" outlineLevel="0" collapsed="false">
      <c r="A88" s="17" t="s">
        <v>95</v>
      </c>
      <c r="B88" s="17" t="s">
        <v>850</v>
      </c>
      <c r="C88" s="17" t="s">
        <v>345</v>
      </c>
      <c r="D88" s="17" t="s">
        <v>1300</v>
      </c>
      <c r="E88" s="17"/>
      <c r="F88" s="17" t="n">
        <v>0</v>
      </c>
      <c r="G88" s="17"/>
      <c r="H88" s="17" t="s">
        <v>1310</v>
      </c>
    </row>
    <row r="89" customFormat="false" ht="15" hidden="false" customHeight="true" outlineLevel="0" collapsed="false">
      <c r="A89" s="17" t="s">
        <v>95</v>
      </c>
      <c r="B89" s="17" t="s">
        <v>449</v>
      </c>
      <c r="C89" s="17" t="s">
        <v>345</v>
      </c>
      <c r="D89" s="17" t="s">
        <v>1300</v>
      </c>
      <c r="E89" s="17"/>
      <c r="F89" s="17" t="n">
        <v>0</v>
      </c>
      <c r="G89" s="17"/>
      <c r="H89" s="17" t="s">
        <v>1311</v>
      </c>
    </row>
    <row r="90" customFormat="false" ht="15" hidden="false" customHeight="true" outlineLevel="0" collapsed="false">
      <c r="A90" s="17" t="s">
        <v>95</v>
      </c>
      <c r="B90" s="17" t="s">
        <v>401</v>
      </c>
      <c r="C90" s="17" t="s">
        <v>345</v>
      </c>
      <c r="D90" s="17" t="s">
        <v>1300</v>
      </c>
      <c r="E90" s="17"/>
      <c r="F90" s="17" t="n">
        <v>0</v>
      </c>
      <c r="G90" s="17"/>
      <c r="H90" s="17" t="s">
        <v>1312</v>
      </c>
    </row>
    <row r="91" customFormat="false" ht="15" hidden="false" customHeight="true" outlineLevel="0" collapsed="false">
      <c r="A91" s="17" t="s">
        <v>95</v>
      </c>
      <c r="B91" s="17" t="s">
        <v>853</v>
      </c>
      <c r="C91" s="17" t="s">
        <v>345</v>
      </c>
      <c r="D91" s="17" t="s">
        <v>1300</v>
      </c>
      <c r="E91" s="17"/>
      <c r="F91" s="17" t="n">
        <v>0</v>
      </c>
      <c r="G91" s="17"/>
      <c r="H91" s="17" t="s">
        <v>1313</v>
      </c>
    </row>
    <row r="92" customFormat="false" ht="15" hidden="false" customHeight="true" outlineLevel="0" collapsed="false">
      <c r="A92" s="17" t="s">
        <v>95</v>
      </c>
      <c r="B92" s="17" t="s">
        <v>855</v>
      </c>
      <c r="C92" s="17" t="s">
        <v>345</v>
      </c>
      <c r="D92" s="17" t="s">
        <v>1300</v>
      </c>
      <c r="E92" s="17"/>
      <c r="F92" s="17" t="n">
        <v>1</v>
      </c>
      <c r="G92" s="17" t="s">
        <v>1314</v>
      </c>
      <c r="H92" s="17" t="s">
        <v>1315</v>
      </c>
    </row>
    <row r="93" customFormat="false" ht="15" hidden="false" customHeight="true" outlineLevel="0" collapsed="false">
      <c r="A93" s="17" t="s">
        <v>95</v>
      </c>
      <c r="B93" s="17" t="s">
        <v>1043</v>
      </c>
      <c r="C93" s="17" t="s">
        <v>345</v>
      </c>
      <c r="D93" s="17" t="s">
        <v>1300</v>
      </c>
      <c r="E93" s="17"/>
      <c r="F93" s="17" t="n">
        <v>0</v>
      </c>
      <c r="G93" s="17"/>
      <c r="H93" s="17" t="s">
        <v>1316</v>
      </c>
    </row>
    <row r="94" customFormat="false" ht="15" hidden="false" customHeight="true" outlineLevel="0" collapsed="false">
      <c r="A94" s="17" t="s">
        <v>95</v>
      </c>
      <c r="B94" s="17" t="s">
        <v>1045</v>
      </c>
      <c r="C94" s="17" t="s">
        <v>345</v>
      </c>
      <c r="D94" s="17" t="s">
        <v>1300</v>
      </c>
      <c r="E94" s="17"/>
      <c r="F94" s="17" t="n">
        <v>0</v>
      </c>
      <c r="G94" s="17"/>
      <c r="H94" s="17" t="s">
        <v>1317</v>
      </c>
    </row>
    <row r="95" customFormat="false" ht="15" hidden="false" customHeight="true" outlineLevel="0" collapsed="false">
      <c r="A95" s="17" t="s">
        <v>95</v>
      </c>
      <c r="B95" s="17" t="s">
        <v>858</v>
      </c>
      <c r="C95" s="17" t="s">
        <v>345</v>
      </c>
      <c r="D95" s="17" t="s">
        <v>1300</v>
      </c>
      <c r="E95" s="17"/>
      <c r="F95" s="17" t="n">
        <v>0</v>
      </c>
      <c r="G95" s="17"/>
      <c r="H95" s="17" t="s">
        <v>1318</v>
      </c>
    </row>
    <row r="96" customFormat="false" ht="15" hidden="false" customHeight="true" outlineLevel="0" collapsed="false">
      <c r="A96" s="17" t="s">
        <v>95</v>
      </c>
      <c r="B96" s="17" t="s">
        <v>402</v>
      </c>
      <c r="C96" s="17" t="s">
        <v>345</v>
      </c>
      <c r="D96" s="17" t="s">
        <v>1300</v>
      </c>
      <c r="E96" s="17"/>
      <c r="F96" s="17" t="n">
        <v>0</v>
      </c>
      <c r="G96" s="17"/>
      <c r="H96" s="17" t="s">
        <v>1319</v>
      </c>
    </row>
    <row r="97" customFormat="false" ht="15" hidden="false" customHeight="true" outlineLevel="0" collapsed="false">
      <c r="A97" s="17" t="s">
        <v>95</v>
      </c>
      <c r="B97" s="17" t="s">
        <v>403</v>
      </c>
      <c r="C97" s="17" t="s">
        <v>345</v>
      </c>
      <c r="D97" s="17" t="s">
        <v>1300</v>
      </c>
      <c r="E97" s="17"/>
      <c r="F97" s="17" t="n">
        <v>0</v>
      </c>
      <c r="G97" s="17"/>
      <c r="H97" s="17" t="s">
        <v>1320</v>
      </c>
    </row>
    <row r="98" customFormat="false" ht="15" hidden="false" customHeight="true" outlineLevel="0" collapsed="false">
      <c r="A98" s="17" t="s">
        <v>95</v>
      </c>
      <c r="B98" s="17" t="s">
        <v>860</v>
      </c>
      <c r="C98" s="17" t="s">
        <v>345</v>
      </c>
      <c r="D98" s="17" t="s">
        <v>1300</v>
      </c>
      <c r="E98" s="17"/>
      <c r="F98" s="17" t="n">
        <v>0</v>
      </c>
      <c r="G98" s="17"/>
      <c r="H98" s="17" t="s">
        <v>1321</v>
      </c>
    </row>
    <row r="99" customFormat="false" ht="15" hidden="false" customHeight="true" outlineLevel="0" collapsed="false">
      <c r="A99" s="17" t="s">
        <v>95</v>
      </c>
      <c r="B99" s="17" t="s">
        <v>149</v>
      </c>
      <c r="C99" s="17" t="s">
        <v>345</v>
      </c>
      <c r="D99" s="17" t="s">
        <v>1300</v>
      </c>
      <c r="E99" s="17"/>
      <c r="F99" s="17" t="n">
        <v>0</v>
      </c>
      <c r="G99" s="17"/>
      <c r="H99" s="17" t="s">
        <v>1322</v>
      </c>
    </row>
    <row r="100" customFormat="false" ht="15" hidden="false" customHeight="true" outlineLevel="0" collapsed="false">
      <c r="A100" s="17" t="s">
        <v>95</v>
      </c>
      <c r="B100" s="17" t="s">
        <v>1052</v>
      </c>
      <c r="C100" s="17" t="s">
        <v>345</v>
      </c>
      <c r="D100" s="17" t="s">
        <v>1300</v>
      </c>
      <c r="E100" s="17"/>
      <c r="F100" s="17" t="n">
        <v>0</v>
      </c>
      <c r="G100" s="17"/>
      <c r="H100" s="17" t="s">
        <v>1323</v>
      </c>
    </row>
    <row r="101" customFormat="false" ht="15" hidden="false" customHeight="true" outlineLevel="0" collapsed="false">
      <c r="A101" s="19" t="s">
        <v>95</v>
      </c>
      <c r="B101" s="19" t="s">
        <v>361</v>
      </c>
      <c r="C101" s="19" t="s">
        <v>344</v>
      </c>
      <c r="D101" s="19" t="s">
        <v>345</v>
      </c>
      <c r="E101" s="19"/>
      <c r="F101" s="19" t="n">
        <v>0</v>
      </c>
      <c r="G101" s="19"/>
      <c r="H101" s="19"/>
    </row>
    <row r="102" customFormat="false" ht="15" hidden="false" customHeight="true" outlineLevel="0" collapsed="false">
      <c r="A102" s="19" t="s">
        <v>95</v>
      </c>
      <c r="B102" s="19" t="s">
        <v>60</v>
      </c>
      <c r="C102" s="19" t="s">
        <v>344</v>
      </c>
      <c r="D102" s="19" t="s">
        <v>345</v>
      </c>
      <c r="E102" s="19"/>
      <c r="F102" s="19" t="n">
        <v>0</v>
      </c>
      <c r="G102" s="19"/>
      <c r="H102" s="19"/>
    </row>
    <row r="103" customFormat="false" ht="15" hidden="false" customHeight="true" outlineLevel="0" collapsed="false">
      <c r="A103" s="19" t="s">
        <v>95</v>
      </c>
      <c r="B103" s="19" t="s">
        <v>362</v>
      </c>
      <c r="C103" s="19" t="s">
        <v>344</v>
      </c>
      <c r="D103" s="19" t="s">
        <v>345</v>
      </c>
      <c r="E103" s="19"/>
      <c r="F103" s="19" t="n">
        <v>0</v>
      </c>
      <c r="G103" s="19"/>
      <c r="H103" s="19"/>
    </row>
    <row r="104" customFormat="false" ht="15" hidden="false" customHeight="true" outlineLevel="0" collapsed="false">
      <c r="A104" s="19" t="s">
        <v>95</v>
      </c>
      <c r="B104" s="19" t="s">
        <v>363</v>
      </c>
      <c r="C104" s="19" t="s">
        <v>344</v>
      </c>
      <c r="D104" s="19" t="s">
        <v>345</v>
      </c>
      <c r="E104" s="19"/>
      <c r="F104" s="19" t="n">
        <v>0</v>
      </c>
      <c r="G104" s="19"/>
      <c r="H104" s="19"/>
    </row>
    <row r="105" customFormat="false" ht="15" hidden="false" customHeight="true" outlineLevel="0" collapsed="false">
      <c r="A105" s="19" t="s">
        <v>95</v>
      </c>
      <c r="B105" s="19" t="s">
        <v>364</v>
      </c>
      <c r="C105" s="19" t="s">
        <v>344</v>
      </c>
      <c r="D105" s="19" t="s">
        <v>345</v>
      </c>
      <c r="E105" s="19"/>
      <c r="F105" s="19" t="n">
        <v>0</v>
      </c>
      <c r="G105" s="19"/>
      <c r="H105" s="19"/>
    </row>
    <row r="106" customFormat="false" ht="15" hidden="false" customHeight="true" outlineLevel="0" collapsed="false">
      <c r="A106" s="17" t="s">
        <v>95</v>
      </c>
      <c r="B106" s="17" t="s">
        <v>119</v>
      </c>
      <c r="C106" s="17" t="s">
        <v>344</v>
      </c>
      <c r="D106" s="17" t="s">
        <v>345</v>
      </c>
      <c r="E106" s="17"/>
      <c r="F106" s="17" t="n">
        <v>1</v>
      </c>
      <c r="G106" s="17" t="s">
        <v>1324</v>
      </c>
      <c r="H106" s="17" t="s">
        <v>1283</v>
      </c>
    </row>
    <row r="107" customFormat="false" ht="15" hidden="false" customHeight="true" outlineLevel="0" collapsed="false">
      <c r="A107" s="17" t="s">
        <v>95</v>
      </c>
      <c r="B107" s="17" t="s">
        <v>121</v>
      </c>
      <c r="C107" s="17" t="s">
        <v>357</v>
      </c>
      <c r="D107" s="17" t="s">
        <v>358</v>
      </c>
      <c r="E107" s="17"/>
      <c r="F107" s="17" t="n">
        <v>1</v>
      </c>
      <c r="G107" s="17" t="s">
        <v>1325</v>
      </c>
      <c r="H107" s="17" t="s">
        <v>1283</v>
      </c>
    </row>
    <row r="108" customFormat="false" ht="15" hidden="false" customHeight="true" outlineLevel="0" collapsed="false">
      <c r="A108" s="17" t="s">
        <v>95</v>
      </c>
      <c r="B108" s="17" t="s">
        <v>123</v>
      </c>
      <c r="C108" s="17" t="s">
        <v>330</v>
      </c>
      <c r="D108" s="17" t="s">
        <v>331</v>
      </c>
      <c r="E108" s="17"/>
      <c r="F108" s="17" t="n">
        <v>1</v>
      </c>
      <c r="G108" s="17" t="s">
        <v>1326</v>
      </c>
      <c r="H108" s="17" t="s">
        <v>1291</v>
      </c>
    </row>
    <row r="109" customFormat="false" ht="15" hidden="false" customHeight="true" outlineLevel="0" collapsed="false">
      <c r="A109" s="17" t="s">
        <v>95</v>
      </c>
      <c r="B109" s="17" t="s">
        <v>873</v>
      </c>
      <c r="C109" s="17" t="s">
        <v>330</v>
      </c>
      <c r="D109" s="17" t="s">
        <v>345</v>
      </c>
      <c r="E109" s="17"/>
      <c r="F109" s="17" t="n">
        <v>0</v>
      </c>
      <c r="G109" s="17"/>
      <c r="H109" s="17" t="s">
        <v>1327</v>
      </c>
    </row>
    <row r="110" customFormat="false" ht="15" hidden="false" customHeight="true" outlineLevel="0" collapsed="false">
      <c r="A110" s="19" t="s">
        <v>95</v>
      </c>
      <c r="B110" s="19" t="s">
        <v>365</v>
      </c>
      <c r="C110" s="19" t="s">
        <v>330</v>
      </c>
      <c r="D110" s="19" t="s">
        <v>331</v>
      </c>
      <c r="E110" s="19"/>
      <c r="F110" s="19" t="n">
        <v>0</v>
      </c>
      <c r="G110" s="19"/>
      <c r="H110" s="19"/>
    </row>
    <row r="111" customFormat="false" ht="15" hidden="false" customHeight="true" outlineLevel="0" collapsed="false">
      <c r="A111" s="17" t="s">
        <v>95</v>
      </c>
      <c r="B111" s="17" t="s">
        <v>125</v>
      </c>
      <c r="C111" s="17" t="s">
        <v>330</v>
      </c>
      <c r="D111" s="17" t="s">
        <v>331</v>
      </c>
      <c r="E111" s="17"/>
      <c r="F111" s="17" t="n">
        <v>1</v>
      </c>
      <c r="G111" s="17" t="s">
        <v>1328</v>
      </c>
      <c r="H111" s="17" t="s">
        <v>1291</v>
      </c>
    </row>
    <row r="112" customFormat="false" ht="15" hidden="false" customHeight="true" outlineLevel="0" collapsed="false">
      <c r="A112" s="19" t="s">
        <v>95</v>
      </c>
      <c r="B112" s="19" t="s">
        <v>366</v>
      </c>
      <c r="C112" s="19" t="s">
        <v>330</v>
      </c>
      <c r="D112" s="19" t="s">
        <v>331</v>
      </c>
      <c r="E112" s="19"/>
      <c r="F112" s="19" t="n">
        <v>0</v>
      </c>
      <c r="G112" s="19"/>
      <c r="H112" s="19"/>
    </row>
    <row r="113" customFormat="false" ht="15" hidden="false" customHeight="true" outlineLevel="0" collapsed="false">
      <c r="A113" s="19" t="s">
        <v>95</v>
      </c>
      <c r="B113" s="19" t="s">
        <v>367</v>
      </c>
      <c r="C113" s="19" t="s">
        <v>330</v>
      </c>
      <c r="D113" s="19" t="s">
        <v>331</v>
      </c>
      <c r="E113" s="19"/>
      <c r="F113" s="19" t="n">
        <v>0</v>
      </c>
      <c r="G113" s="19"/>
      <c r="H113" s="19"/>
    </row>
    <row r="114" customFormat="false" ht="15" hidden="false" customHeight="true" outlineLevel="0" collapsed="false">
      <c r="A114" s="19" t="s">
        <v>95</v>
      </c>
      <c r="B114" s="19" t="s">
        <v>368</v>
      </c>
      <c r="C114" s="19" t="s">
        <v>330</v>
      </c>
      <c r="D114" s="19" t="s">
        <v>331</v>
      </c>
      <c r="E114" s="19"/>
      <c r="F114" s="19" t="n">
        <v>0</v>
      </c>
      <c r="G114" s="19"/>
      <c r="H114" s="19"/>
    </row>
    <row r="115" customFormat="false" ht="15" hidden="false" customHeight="true" outlineLevel="0" collapsed="false">
      <c r="A115" s="19" t="s">
        <v>95</v>
      </c>
      <c r="B115" s="19" t="s">
        <v>155</v>
      </c>
      <c r="C115" s="19" t="s">
        <v>330</v>
      </c>
      <c r="D115" s="19" t="s">
        <v>331</v>
      </c>
      <c r="E115" s="19"/>
      <c r="F115" s="19" t="n">
        <v>0</v>
      </c>
      <c r="G115" s="19"/>
      <c r="H115" s="19"/>
    </row>
    <row r="116" customFormat="false" ht="15" hidden="false" customHeight="true" outlineLevel="0" collapsed="false">
      <c r="A116" s="17" t="s">
        <v>95</v>
      </c>
      <c r="B116" s="17" t="s">
        <v>454</v>
      </c>
      <c r="C116" s="17" t="s">
        <v>330</v>
      </c>
      <c r="D116" s="17" t="s">
        <v>345</v>
      </c>
      <c r="E116" s="17"/>
      <c r="F116" s="17" t="n">
        <v>0</v>
      </c>
      <c r="G116" s="17"/>
      <c r="H116" s="17" t="s">
        <v>1329</v>
      </c>
    </row>
    <row r="117" customFormat="false" ht="15" hidden="false" customHeight="true" outlineLevel="0" collapsed="false">
      <c r="A117" s="19" t="s">
        <v>95</v>
      </c>
      <c r="B117" s="19" t="s">
        <v>369</v>
      </c>
      <c r="C117" s="19" t="s">
        <v>330</v>
      </c>
      <c r="D117" s="19" t="s">
        <v>331</v>
      </c>
      <c r="E117" s="19"/>
      <c r="F117" s="19" t="n">
        <v>0</v>
      </c>
      <c r="G117" s="19"/>
      <c r="H117" s="19"/>
    </row>
    <row r="118" customFormat="false" ht="15" hidden="false" customHeight="true" outlineLevel="0" collapsed="false">
      <c r="A118" s="19" t="s">
        <v>95</v>
      </c>
      <c r="B118" s="19" t="s">
        <v>370</v>
      </c>
      <c r="C118" s="19" t="s">
        <v>330</v>
      </c>
      <c r="D118" s="19" t="s">
        <v>331</v>
      </c>
      <c r="E118" s="19"/>
      <c r="F118" s="19" t="n">
        <v>0</v>
      </c>
      <c r="G118" s="19"/>
      <c r="H118" s="19"/>
    </row>
    <row r="119" customFormat="false" ht="15" hidden="false" customHeight="true" outlineLevel="0" collapsed="false">
      <c r="A119" s="17" t="s">
        <v>95</v>
      </c>
      <c r="B119" s="17" t="s">
        <v>127</v>
      </c>
      <c r="C119" s="17" t="s">
        <v>330</v>
      </c>
      <c r="D119" s="17" t="s">
        <v>331</v>
      </c>
      <c r="E119" s="17"/>
      <c r="F119" s="17" t="n">
        <v>1</v>
      </c>
      <c r="G119" s="17" t="s">
        <v>1330</v>
      </c>
      <c r="H119" s="17" t="s">
        <v>1291</v>
      </c>
    </row>
    <row r="120" customFormat="false" ht="15" hidden="false" customHeight="true" outlineLevel="0" collapsed="false">
      <c r="A120" s="19" t="s">
        <v>95</v>
      </c>
      <c r="B120" s="19" t="s">
        <v>371</v>
      </c>
      <c r="C120" s="19" t="s">
        <v>330</v>
      </c>
      <c r="D120" s="19" t="s">
        <v>331</v>
      </c>
      <c r="E120" s="19"/>
      <c r="F120" s="19" t="n">
        <v>0</v>
      </c>
      <c r="G120" s="19"/>
      <c r="H120" s="19"/>
    </row>
    <row r="121" customFormat="false" ht="15" hidden="false" customHeight="true" outlineLevel="0" collapsed="false">
      <c r="A121" s="17" t="s">
        <v>95</v>
      </c>
      <c r="B121" s="17" t="s">
        <v>457</v>
      </c>
      <c r="C121" s="17" t="s">
        <v>330</v>
      </c>
      <c r="D121" s="17" t="s">
        <v>345</v>
      </c>
      <c r="E121" s="17"/>
      <c r="F121" s="17" t="n">
        <v>0</v>
      </c>
      <c r="G121" s="17"/>
      <c r="H121" s="17" t="s">
        <v>1331</v>
      </c>
    </row>
    <row r="122" customFormat="false" ht="15" hidden="false" customHeight="true" outlineLevel="0" collapsed="false">
      <c r="A122" s="17" t="s">
        <v>95</v>
      </c>
      <c r="B122" s="17" t="s">
        <v>129</v>
      </c>
      <c r="C122" s="17" t="s">
        <v>330</v>
      </c>
      <c r="D122" s="17" t="s">
        <v>331</v>
      </c>
      <c r="E122" s="17"/>
      <c r="F122" s="17" t="n">
        <v>1</v>
      </c>
      <c r="G122" s="17" t="s">
        <v>1332</v>
      </c>
      <c r="H122" s="17" t="s">
        <v>1291</v>
      </c>
    </row>
    <row r="123" customFormat="false" ht="15" hidden="false" customHeight="true" outlineLevel="0" collapsed="false">
      <c r="A123" s="17" t="s">
        <v>95</v>
      </c>
      <c r="B123" s="17" t="s">
        <v>131</v>
      </c>
      <c r="C123" s="17" t="s">
        <v>330</v>
      </c>
      <c r="D123" s="17" t="s">
        <v>331</v>
      </c>
      <c r="E123" s="17"/>
      <c r="F123" s="17" t="n">
        <v>1</v>
      </c>
      <c r="G123" s="17" t="s">
        <v>1333</v>
      </c>
      <c r="H123" s="17" t="s">
        <v>1291</v>
      </c>
    </row>
    <row r="124" customFormat="false" ht="15" hidden="false" customHeight="true" outlineLevel="0" collapsed="false">
      <c r="A124" s="17" t="s">
        <v>95</v>
      </c>
      <c r="B124" s="17" t="s">
        <v>161</v>
      </c>
      <c r="C124" s="17" t="s">
        <v>330</v>
      </c>
      <c r="D124" s="17" t="s">
        <v>345</v>
      </c>
      <c r="E124" s="17"/>
      <c r="F124" s="17" t="n">
        <v>0</v>
      </c>
      <c r="G124" s="17"/>
      <c r="H124" s="17" t="s">
        <v>1334</v>
      </c>
    </row>
    <row r="125" customFormat="false" ht="15" hidden="false" customHeight="true" outlineLevel="0" collapsed="false">
      <c r="A125" s="19" t="s">
        <v>95</v>
      </c>
      <c r="B125" s="19" t="s">
        <v>372</v>
      </c>
      <c r="C125" s="19" t="s">
        <v>330</v>
      </c>
      <c r="D125" s="19" t="s">
        <v>331</v>
      </c>
      <c r="E125" s="19"/>
      <c r="F125" s="19" t="n">
        <v>0</v>
      </c>
      <c r="G125" s="19"/>
      <c r="H125" s="19"/>
    </row>
    <row r="126" customFormat="false" ht="15" hidden="false" customHeight="true" outlineLevel="0" collapsed="false">
      <c r="A126" s="17" t="s">
        <v>95</v>
      </c>
      <c r="B126" s="17" t="s">
        <v>419</v>
      </c>
      <c r="C126" s="17" t="s">
        <v>330</v>
      </c>
      <c r="D126" s="17" t="s">
        <v>345</v>
      </c>
      <c r="E126" s="17"/>
      <c r="F126" s="17" t="n">
        <v>0</v>
      </c>
      <c r="G126" s="17"/>
      <c r="H126" s="17" t="s">
        <v>1335</v>
      </c>
    </row>
    <row r="127" customFormat="false" ht="15" hidden="false" customHeight="true" outlineLevel="0" collapsed="false">
      <c r="A127" s="19" t="s">
        <v>95</v>
      </c>
      <c r="B127" s="19" t="s">
        <v>373</v>
      </c>
      <c r="C127" s="19" t="s">
        <v>330</v>
      </c>
      <c r="D127" s="19" t="s">
        <v>331</v>
      </c>
      <c r="E127" s="19"/>
      <c r="F127" s="19" t="n">
        <v>0</v>
      </c>
      <c r="G127" s="19"/>
      <c r="H127" s="19"/>
    </row>
    <row r="128" customFormat="false" ht="15" hidden="false" customHeight="true" outlineLevel="0" collapsed="false">
      <c r="A128" s="17" t="s">
        <v>95</v>
      </c>
      <c r="B128" s="17" t="s">
        <v>133</v>
      </c>
      <c r="C128" s="17" t="s">
        <v>330</v>
      </c>
      <c r="D128" s="17" t="s">
        <v>331</v>
      </c>
      <c r="E128" s="17"/>
      <c r="F128" s="17" t="n">
        <v>1</v>
      </c>
      <c r="G128" s="17" t="s">
        <v>1336</v>
      </c>
      <c r="H128" s="17" t="s">
        <v>1291</v>
      </c>
    </row>
    <row r="129" customFormat="false" ht="15" hidden="false" customHeight="true" outlineLevel="0" collapsed="false">
      <c r="A129" s="17" t="s">
        <v>95</v>
      </c>
      <c r="B129" s="17" t="s">
        <v>420</v>
      </c>
      <c r="C129" s="17" t="s">
        <v>330</v>
      </c>
      <c r="D129" s="17" t="s">
        <v>345</v>
      </c>
      <c r="E129" s="17"/>
      <c r="F129" s="17" t="n">
        <v>0</v>
      </c>
      <c r="G129" s="17"/>
      <c r="H129" s="17" t="s">
        <v>1337</v>
      </c>
    </row>
    <row r="130" customFormat="false" ht="15" hidden="false" customHeight="true" outlineLevel="0" collapsed="false">
      <c r="A130" s="19" t="s">
        <v>135</v>
      </c>
      <c r="B130" s="19" t="s">
        <v>23</v>
      </c>
      <c r="C130" s="19" t="s">
        <v>325</v>
      </c>
      <c r="D130" s="19" t="s">
        <v>538</v>
      </c>
      <c r="E130" s="19" t="s">
        <v>1338</v>
      </c>
      <c r="F130" s="19" t="n">
        <v>0</v>
      </c>
      <c r="G130" s="19"/>
      <c r="H130" s="19"/>
    </row>
    <row r="131" customFormat="false" ht="15" hidden="false" customHeight="true" outlineLevel="0" collapsed="false">
      <c r="A131" s="17" t="s">
        <v>135</v>
      </c>
      <c r="B131" s="17" t="s">
        <v>38</v>
      </c>
      <c r="C131" s="17" t="s">
        <v>330</v>
      </c>
      <c r="D131" s="17" t="s">
        <v>331</v>
      </c>
      <c r="E131" s="17"/>
      <c r="F131" s="17" t="n">
        <v>1</v>
      </c>
      <c r="G131" s="17" t="s">
        <v>1339</v>
      </c>
      <c r="H131" s="17" t="s">
        <v>1291</v>
      </c>
    </row>
    <row r="132" customFormat="false" ht="15" hidden="false" customHeight="true" outlineLevel="0" collapsed="false">
      <c r="A132" s="17" t="s">
        <v>135</v>
      </c>
      <c r="B132" s="17" t="s">
        <v>41</v>
      </c>
      <c r="C132" s="17" t="s">
        <v>330</v>
      </c>
      <c r="D132" s="17" t="s">
        <v>345</v>
      </c>
      <c r="E132" s="17"/>
      <c r="F132" s="17" t="n">
        <v>0</v>
      </c>
      <c r="G132" s="17"/>
      <c r="H132" s="17" t="s">
        <v>1340</v>
      </c>
    </row>
    <row r="133" customFormat="false" ht="15" hidden="false" customHeight="true" outlineLevel="0" collapsed="false">
      <c r="A133" s="19" t="s">
        <v>135</v>
      </c>
      <c r="B133" s="19" t="s">
        <v>49</v>
      </c>
      <c r="C133" s="19" t="s">
        <v>330</v>
      </c>
      <c r="D133" s="19" t="s">
        <v>331</v>
      </c>
      <c r="E133" s="19"/>
      <c r="F133" s="19" t="n">
        <v>0</v>
      </c>
      <c r="G133" s="19"/>
      <c r="H133" s="19"/>
    </row>
    <row r="134" customFormat="false" ht="15" hidden="false" customHeight="true" outlineLevel="0" collapsed="false">
      <c r="A134" s="17" t="s">
        <v>135</v>
      </c>
      <c r="B134" s="17" t="s">
        <v>86</v>
      </c>
      <c r="C134" s="17" t="s">
        <v>330</v>
      </c>
      <c r="D134" s="17" t="s">
        <v>345</v>
      </c>
      <c r="E134" s="17"/>
      <c r="F134" s="17" t="n">
        <v>0</v>
      </c>
      <c r="G134" s="17"/>
      <c r="H134" s="17" t="s">
        <v>1341</v>
      </c>
    </row>
    <row r="135" customFormat="false" ht="15" hidden="false" customHeight="true" outlineLevel="0" collapsed="false">
      <c r="A135" s="17" t="s">
        <v>135</v>
      </c>
      <c r="B135" s="17" t="s">
        <v>137</v>
      </c>
      <c r="C135" s="17" t="s">
        <v>330</v>
      </c>
      <c r="D135" s="17" t="s">
        <v>331</v>
      </c>
      <c r="E135" s="17"/>
      <c r="F135" s="17" t="n">
        <v>1</v>
      </c>
      <c r="G135" s="17" t="s">
        <v>1342</v>
      </c>
      <c r="H135" s="17" t="s">
        <v>1291</v>
      </c>
    </row>
    <row r="136" customFormat="false" ht="15" hidden="false" customHeight="true" outlineLevel="0" collapsed="false">
      <c r="A136" s="17" t="s">
        <v>135</v>
      </c>
      <c r="B136" s="17" t="s">
        <v>423</v>
      </c>
      <c r="C136" s="17" t="s">
        <v>330</v>
      </c>
      <c r="D136" s="17" t="s">
        <v>345</v>
      </c>
      <c r="E136" s="17"/>
      <c r="F136" s="17" t="n">
        <v>0</v>
      </c>
      <c r="G136" s="17"/>
      <c r="H136" s="17" t="s">
        <v>1343</v>
      </c>
    </row>
    <row r="137" customFormat="false" ht="15" hidden="false" customHeight="true" outlineLevel="0" collapsed="false">
      <c r="A137" s="19" t="s">
        <v>135</v>
      </c>
      <c r="B137" s="19" t="s">
        <v>376</v>
      </c>
      <c r="C137" s="19" t="s">
        <v>330</v>
      </c>
      <c r="D137" s="19" t="s">
        <v>331</v>
      </c>
      <c r="E137" s="19"/>
      <c r="F137" s="19" t="n">
        <v>0</v>
      </c>
      <c r="G137" s="19"/>
      <c r="H137" s="19"/>
    </row>
    <row r="138" customFormat="false" ht="15" hidden="false" customHeight="true" outlineLevel="0" collapsed="false">
      <c r="A138" s="17" t="s">
        <v>135</v>
      </c>
      <c r="B138" s="17" t="s">
        <v>328</v>
      </c>
      <c r="C138" s="17" t="s">
        <v>330</v>
      </c>
      <c r="D138" s="17" t="s">
        <v>345</v>
      </c>
      <c r="E138" s="17"/>
      <c r="F138" s="17" t="n">
        <v>0</v>
      </c>
      <c r="G138" s="17"/>
      <c r="H138" s="17" t="s">
        <v>1344</v>
      </c>
    </row>
    <row r="139" customFormat="false" ht="15" hidden="false" customHeight="true" outlineLevel="0" collapsed="false">
      <c r="A139" s="24" t="s">
        <v>135</v>
      </c>
      <c r="B139" s="24" t="s">
        <v>96</v>
      </c>
      <c r="C139" s="24" t="s">
        <v>325</v>
      </c>
      <c r="D139" s="24" t="s">
        <v>538</v>
      </c>
      <c r="E139" s="24"/>
      <c r="F139" s="24" t="n">
        <v>1</v>
      </c>
      <c r="G139" s="24" t="s">
        <v>1345</v>
      </c>
      <c r="H139" s="24"/>
    </row>
    <row r="140" customFormat="false" ht="15" hidden="false" customHeight="true" outlineLevel="0" collapsed="false">
      <c r="A140" s="19" t="s">
        <v>135</v>
      </c>
      <c r="B140" s="19" t="s">
        <v>190</v>
      </c>
      <c r="C140" s="19" t="s">
        <v>380</v>
      </c>
      <c r="D140" s="19" t="s">
        <v>381</v>
      </c>
      <c r="E140" s="19"/>
      <c r="F140" s="19" t="n">
        <v>0</v>
      </c>
      <c r="G140" s="19"/>
      <c r="H140" s="19"/>
    </row>
    <row r="141" customFormat="false" ht="15" hidden="false" customHeight="true" outlineLevel="0" collapsed="false">
      <c r="A141" s="19" t="s">
        <v>135</v>
      </c>
      <c r="B141" s="19" t="s">
        <v>383</v>
      </c>
      <c r="C141" s="19" t="s">
        <v>330</v>
      </c>
      <c r="D141" s="19" t="s">
        <v>331</v>
      </c>
      <c r="E141" s="19"/>
      <c r="F141" s="19" t="n">
        <v>0</v>
      </c>
      <c r="G141" s="19"/>
      <c r="H141" s="19"/>
    </row>
    <row r="142" customFormat="false" ht="15" hidden="false" customHeight="true" outlineLevel="0" collapsed="false">
      <c r="A142" s="19" t="s">
        <v>135</v>
      </c>
      <c r="B142" s="19" t="s">
        <v>384</v>
      </c>
      <c r="C142" s="19" t="s">
        <v>330</v>
      </c>
      <c r="D142" s="19" t="s">
        <v>331</v>
      </c>
      <c r="E142" s="19"/>
      <c r="F142" s="19" t="n">
        <v>0</v>
      </c>
      <c r="G142" s="19"/>
      <c r="H142" s="19"/>
    </row>
    <row r="143" customFormat="false" ht="15" hidden="false" customHeight="true" outlineLevel="0" collapsed="false">
      <c r="A143" s="17" t="s">
        <v>135</v>
      </c>
      <c r="B143" s="17" t="s">
        <v>141</v>
      </c>
      <c r="C143" s="17" t="s">
        <v>330</v>
      </c>
      <c r="D143" s="17" t="s">
        <v>331</v>
      </c>
      <c r="E143" s="17"/>
      <c r="F143" s="17" t="n">
        <v>1</v>
      </c>
      <c r="G143" s="17" t="s">
        <v>1346</v>
      </c>
      <c r="H143" s="17" t="s">
        <v>1291</v>
      </c>
    </row>
    <row r="144" customFormat="false" ht="15" hidden="false" customHeight="true" outlineLevel="0" collapsed="false">
      <c r="A144" s="17" t="s">
        <v>135</v>
      </c>
      <c r="B144" s="17" t="s">
        <v>166</v>
      </c>
      <c r="C144" s="17" t="s">
        <v>344</v>
      </c>
      <c r="D144" s="17" t="s">
        <v>345</v>
      </c>
      <c r="E144" s="17"/>
      <c r="F144" s="17" t="n">
        <v>0</v>
      </c>
      <c r="G144" s="17"/>
      <c r="H144" s="17" t="s">
        <v>1295</v>
      </c>
    </row>
    <row r="145" customFormat="false" ht="15" hidden="false" customHeight="true" outlineLevel="0" collapsed="false">
      <c r="A145" s="19" t="s">
        <v>135</v>
      </c>
      <c r="B145" s="19" t="s">
        <v>386</v>
      </c>
      <c r="C145" s="19" t="s">
        <v>344</v>
      </c>
      <c r="D145" s="19" t="s">
        <v>345</v>
      </c>
      <c r="E145" s="19"/>
      <c r="F145" s="19" t="n">
        <v>0</v>
      </c>
      <c r="G145" s="19"/>
      <c r="H145" s="19"/>
    </row>
    <row r="146" customFormat="false" ht="15" hidden="false" customHeight="true" outlineLevel="0" collapsed="false">
      <c r="A146" s="19" t="s">
        <v>135</v>
      </c>
      <c r="B146" s="19" t="s">
        <v>105</v>
      </c>
      <c r="C146" s="19" t="s">
        <v>344</v>
      </c>
      <c r="D146" s="19" t="s">
        <v>345</v>
      </c>
      <c r="E146" s="19"/>
      <c r="F146" s="19" t="n">
        <v>0</v>
      </c>
      <c r="G146" s="19"/>
      <c r="H146" s="19"/>
    </row>
    <row r="147" customFormat="false" ht="15" hidden="false" customHeight="true" outlineLevel="0" collapsed="false">
      <c r="A147" s="17" t="s">
        <v>135</v>
      </c>
      <c r="B147" s="17" t="s">
        <v>143</v>
      </c>
      <c r="C147" s="17" t="s">
        <v>344</v>
      </c>
      <c r="D147" s="17" t="s">
        <v>345</v>
      </c>
      <c r="E147" s="17"/>
      <c r="F147" s="17" t="n">
        <v>1</v>
      </c>
      <c r="G147" s="17" t="s">
        <v>1347</v>
      </c>
      <c r="H147" s="17" t="s">
        <v>1283</v>
      </c>
    </row>
    <row r="148" customFormat="false" ht="15" hidden="false" customHeight="true" outlineLevel="0" collapsed="false">
      <c r="A148" s="19" t="s">
        <v>135</v>
      </c>
      <c r="B148" s="19" t="s">
        <v>388</v>
      </c>
      <c r="C148" s="19" t="s">
        <v>344</v>
      </c>
      <c r="D148" s="19" t="s">
        <v>345</v>
      </c>
      <c r="E148" s="19"/>
      <c r="F148" s="19" t="n">
        <v>0</v>
      </c>
      <c r="G148" s="19"/>
      <c r="H148" s="19"/>
    </row>
    <row r="149" customFormat="false" ht="15" hidden="false" customHeight="true" outlineLevel="0" collapsed="false">
      <c r="A149" s="19" t="s">
        <v>135</v>
      </c>
      <c r="B149" s="19" t="s">
        <v>348</v>
      </c>
      <c r="C149" s="19" t="s">
        <v>344</v>
      </c>
      <c r="D149" s="19" t="s">
        <v>345</v>
      </c>
      <c r="E149" s="19"/>
      <c r="F149" s="19" t="n">
        <v>0</v>
      </c>
      <c r="G149" s="19"/>
      <c r="H149" s="19"/>
    </row>
    <row r="150" customFormat="false" ht="15" hidden="false" customHeight="true" outlineLevel="0" collapsed="false">
      <c r="A150" s="19" t="s">
        <v>135</v>
      </c>
      <c r="B150" s="19" t="s">
        <v>349</v>
      </c>
      <c r="C150" s="19" t="s">
        <v>344</v>
      </c>
      <c r="D150" s="19" t="s">
        <v>345</v>
      </c>
      <c r="E150" s="19"/>
      <c r="F150" s="19" t="n">
        <v>0</v>
      </c>
      <c r="G150" s="19"/>
      <c r="H150" s="19"/>
    </row>
    <row r="151" customFormat="false" ht="15" hidden="false" customHeight="true" outlineLevel="0" collapsed="false">
      <c r="A151" s="19" t="s">
        <v>135</v>
      </c>
      <c r="B151" s="19" t="s">
        <v>389</v>
      </c>
      <c r="C151" s="19" t="s">
        <v>344</v>
      </c>
      <c r="D151" s="19" t="s">
        <v>345</v>
      </c>
      <c r="E151" s="19"/>
      <c r="F151" s="19" t="n">
        <v>0</v>
      </c>
      <c r="G151" s="19"/>
      <c r="H151" s="19"/>
    </row>
    <row r="152" customFormat="false" ht="15" hidden="false" customHeight="true" outlineLevel="0" collapsed="false">
      <c r="A152" s="19" t="s">
        <v>135</v>
      </c>
      <c r="B152" s="19" t="s">
        <v>352</v>
      </c>
      <c r="C152" s="19" t="s">
        <v>344</v>
      </c>
      <c r="D152" s="19" t="s">
        <v>345</v>
      </c>
      <c r="E152" s="19"/>
      <c r="F152" s="19" t="n">
        <v>0</v>
      </c>
      <c r="G152" s="19"/>
      <c r="H152" s="19"/>
    </row>
    <row r="153" customFormat="false" ht="15" hidden="false" customHeight="true" outlineLevel="0" collapsed="false">
      <c r="A153" s="19" t="s">
        <v>135</v>
      </c>
      <c r="B153" s="19" t="s">
        <v>353</v>
      </c>
      <c r="C153" s="19" t="s">
        <v>344</v>
      </c>
      <c r="D153" s="19" t="s">
        <v>345</v>
      </c>
      <c r="E153" s="19"/>
      <c r="F153" s="19" t="n">
        <v>0</v>
      </c>
      <c r="G153" s="19"/>
      <c r="H153" s="19"/>
    </row>
    <row r="154" customFormat="false" ht="15" hidden="false" customHeight="true" outlineLevel="0" collapsed="false">
      <c r="A154" s="19" t="s">
        <v>135</v>
      </c>
      <c r="B154" s="19" t="s">
        <v>390</v>
      </c>
      <c r="C154" s="19" t="s">
        <v>344</v>
      </c>
      <c r="D154" s="19" t="s">
        <v>345</v>
      </c>
      <c r="E154" s="19"/>
      <c r="F154" s="19" t="n">
        <v>0</v>
      </c>
      <c r="G154" s="19"/>
      <c r="H154" s="19"/>
    </row>
    <row r="155" customFormat="false" ht="15" hidden="false" customHeight="true" outlineLevel="0" collapsed="false">
      <c r="A155" s="19" t="s">
        <v>135</v>
      </c>
      <c r="B155" s="19" t="s">
        <v>391</v>
      </c>
      <c r="C155" s="19" t="s">
        <v>344</v>
      </c>
      <c r="D155" s="19" t="s">
        <v>345</v>
      </c>
      <c r="E155" s="19"/>
      <c r="F155" s="19" t="n">
        <v>0</v>
      </c>
      <c r="G155" s="19"/>
      <c r="H155" s="19"/>
    </row>
    <row r="156" customFormat="false" ht="15" hidden="false" customHeight="true" outlineLevel="0" collapsed="false">
      <c r="A156" s="19" t="s">
        <v>135</v>
      </c>
      <c r="B156" s="19" t="s">
        <v>356</v>
      </c>
      <c r="C156" s="19" t="s">
        <v>344</v>
      </c>
      <c r="D156" s="19" t="s">
        <v>345</v>
      </c>
      <c r="E156" s="19"/>
      <c r="F156" s="19" t="n">
        <v>0</v>
      </c>
      <c r="G156" s="19"/>
      <c r="H156" s="19"/>
    </row>
    <row r="157" customFormat="false" ht="15" hidden="false" customHeight="true" outlineLevel="0" collapsed="false">
      <c r="A157" s="17" t="s">
        <v>135</v>
      </c>
      <c r="B157" s="17" t="s">
        <v>145</v>
      </c>
      <c r="C157" s="17" t="s">
        <v>344</v>
      </c>
      <c r="D157" s="17" t="s">
        <v>345</v>
      </c>
      <c r="E157" s="17"/>
      <c r="F157" s="17" t="n">
        <v>1</v>
      </c>
      <c r="G157" s="17" t="s">
        <v>1348</v>
      </c>
      <c r="H157" s="17" t="s">
        <v>1283</v>
      </c>
    </row>
    <row r="158" customFormat="false" ht="15" hidden="false" customHeight="true" outlineLevel="0" collapsed="false">
      <c r="A158" s="19" t="s">
        <v>135</v>
      </c>
      <c r="B158" s="19" t="s">
        <v>108</v>
      </c>
      <c r="C158" s="19" t="s">
        <v>344</v>
      </c>
      <c r="D158" s="19" t="s">
        <v>345</v>
      </c>
      <c r="E158" s="19"/>
      <c r="F158" s="19" t="n">
        <v>0</v>
      </c>
      <c r="G158" s="19"/>
      <c r="H158" s="19"/>
    </row>
    <row r="159" customFormat="false" ht="15" hidden="false" customHeight="true" outlineLevel="0" collapsed="false">
      <c r="A159" s="19" t="s">
        <v>135</v>
      </c>
      <c r="B159" s="19" t="s">
        <v>392</v>
      </c>
      <c r="C159" s="19" t="s">
        <v>344</v>
      </c>
      <c r="D159" s="19" t="s">
        <v>345</v>
      </c>
      <c r="E159" s="19"/>
      <c r="F159" s="19" t="n">
        <v>0</v>
      </c>
      <c r="G159" s="19"/>
      <c r="H159" s="19"/>
    </row>
    <row r="160" customFormat="false" ht="15" hidden="false" customHeight="true" outlineLevel="0" collapsed="false">
      <c r="A160" s="19" t="s">
        <v>135</v>
      </c>
      <c r="B160" s="19" t="s">
        <v>393</v>
      </c>
      <c r="C160" s="19" t="s">
        <v>344</v>
      </c>
      <c r="D160" s="19" t="s">
        <v>345</v>
      </c>
      <c r="E160" s="19"/>
      <c r="F160" s="19" t="n">
        <v>0</v>
      </c>
      <c r="G160" s="19"/>
      <c r="H160" s="19"/>
    </row>
    <row r="161" customFormat="false" ht="15" hidden="false" customHeight="true" outlineLevel="0" collapsed="false">
      <c r="A161" s="19" t="s">
        <v>135</v>
      </c>
      <c r="B161" s="19" t="s">
        <v>394</v>
      </c>
      <c r="C161" s="19" t="s">
        <v>344</v>
      </c>
      <c r="D161" s="19" t="s">
        <v>345</v>
      </c>
      <c r="E161" s="19"/>
      <c r="F161" s="19" t="n">
        <v>0</v>
      </c>
      <c r="G161" s="19"/>
      <c r="H161" s="19"/>
    </row>
    <row r="162" customFormat="false" ht="15" hidden="false" customHeight="true" outlineLevel="0" collapsed="false">
      <c r="A162" s="19" t="s">
        <v>135</v>
      </c>
      <c r="B162" s="19" t="s">
        <v>395</v>
      </c>
      <c r="C162" s="19" t="s">
        <v>344</v>
      </c>
      <c r="D162" s="19" t="s">
        <v>345</v>
      </c>
      <c r="E162" s="19"/>
      <c r="F162" s="19" t="n">
        <v>0</v>
      </c>
      <c r="G162" s="19"/>
      <c r="H162" s="19"/>
    </row>
    <row r="163" customFormat="false" ht="15" hidden="false" customHeight="true" outlineLevel="0" collapsed="false">
      <c r="A163" s="19" t="s">
        <v>135</v>
      </c>
      <c r="B163" s="19" t="s">
        <v>396</v>
      </c>
      <c r="C163" s="19" t="s">
        <v>344</v>
      </c>
      <c r="D163" s="19" t="s">
        <v>345</v>
      </c>
      <c r="E163" s="19"/>
      <c r="F163" s="19" t="n">
        <v>0</v>
      </c>
      <c r="G163" s="19"/>
      <c r="H163" s="19"/>
    </row>
    <row r="164" customFormat="false" ht="15" hidden="false" customHeight="true" outlineLevel="0" collapsed="false">
      <c r="A164" s="19" t="s">
        <v>135</v>
      </c>
      <c r="B164" s="19" t="s">
        <v>116</v>
      </c>
      <c r="C164" s="19" t="s">
        <v>344</v>
      </c>
      <c r="D164" s="19" t="s">
        <v>345</v>
      </c>
      <c r="E164" s="19"/>
      <c r="F164" s="19" t="n">
        <v>0</v>
      </c>
      <c r="G164" s="19"/>
      <c r="H164" s="19"/>
    </row>
    <row r="165" customFormat="false" ht="15" hidden="false" customHeight="true" outlineLevel="0" collapsed="false">
      <c r="A165" s="19" t="s">
        <v>135</v>
      </c>
      <c r="B165" s="19" t="s">
        <v>397</v>
      </c>
      <c r="C165" s="19" t="s">
        <v>344</v>
      </c>
      <c r="D165" s="19" t="s">
        <v>345</v>
      </c>
      <c r="E165" s="19"/>
      <c r="F165" s="19" t="n">
        <v>0</v>
      </c>
      <c r="G165" s="19"/>
      <c r="H165" s="19"/>
    </row>
    <row r="166" customFormat="false" ht="15" hidden="false" customHeight="true" outlineLevel="0" collapsed="false">
      <c r="A166" s="19" t="s">
        <v>135</v>
      </c>
      <c r="B166" s="19" t="s">
        <v>398</v>
      </c>
      <c r="C166" s="19" t="s">
        <v>344</v>
      </c>
      <c r="D166" s="19" t="s">
        <v>345</v>
      </c>
      <c r="E166" s="19"/>
      <c r="F166" s="19" t="n">
        <v>0</v>
      </c>
      <c r="G166" s="19"/>
      <c r="H166" s="19"/>
    </row>
    <row r="167" customFormat="false" ht="15" hidden="false" customHeight="true" outlineLevel="0" collapsed="false">
      <c r="A167" s="19" t="s">
        <v>135</v>
      </c>
      <c r="B167" s="19" t="s">
        <v>399</v>
      </c>
      <c r="C167" s="19" t="s">
        <v>344</v>
      </c>
      <c r="D167" s="19" t="s">
        <v>345</v>
      </c>
      <c r="E167" s="19"/>
      <c r="F167" s="19" t="n">
        <v>0</v>
      </c>
      <c r="G167" s="19"/>
      <c r="H167" s="19"/>
    </row>
    <row r="168" customFormat="false" ht="15" hidden="false" customHeight="true" outlineLevel="0" collapsed="false">
      <c r="A168" s="19" t="s">
        <v>135</v>
      </c>
      <c r="B168" s="19" t="s">
        <v>168</v>
      </c>
      <c r="C168" s="19" t="s">
        <v>330</v>
      </c>
      <c r="D168" s="19" t="s">
        <v>331</v>
      </c>
      <c r="E168" s="19"/>
      <c r="F168" s="19" t="n">
        <v>0</v>
      </c>
      <c r="G168" s="19"/>
      <c r="H168" s="19"/>
    </row>
    <row r="169" customFormat="false" ht="15" hidden="false" customHeight="true" outlineLevel="0" collapsed="false">
      <c r="A169" s="19" t="s">
        <v>135</v>
      </c>
      <c r="B169" s="19" t="s">
        <v>360</v>
      </c>
      <c r="C169" s="19" t="s">
        <v>330</v>
      </c>
      <c r="D169" s="19" t="s">
        <v>331</v>
      </c>
      <c r="E169" s="19"/>
      <c r="F169" s="19" t="n">
        <v>0</v>
      </c>
      <c r="G169" s="19"/>
      <c r="H169" s="19"/>
    </row>
    <row r="170" customFormat="false" ht="15" hidden="false" customHeight="true" outlineLevel="0" collapsed="false">
      <c r="A170" s="17" t="s">
        <v>135</v>
      </c>
      <c r="B170" s="17" t="s">
        <v>702</v>
      </c>
      <c r="C170" s="17" t="s">
        <v>330</v>
      </c>
      <c r="D170" s="17" t="s">
        <v>345</v>
      </c>
      <c r="E170" s="17"/>
      <c r="F170" s="17" t="n">
        <v>0</v>
      </c>
      <c r="G170" s="17"/>
      <c r="H170" s="17" t="s">
        <v>1349</v>
      </c>
    </row>
    <row r="171" customFormat="false" ht="15" hidden="false" customHeight="true" outlineLevel="0" collapsed="false">
      <c r="A171" s="17" t="s">
        <v>135</v>
      </c>
      <c r="B171" s="17" t="s">
        <v>147</v>
      </c>
      <c r="C171" s="17" t="s">
        <v>330</v>
      </c>
      <c r="D171" s="17" t="s">
        <v>331</v>
      </c>
      <c r="E171" s="17"/>
      <c r="F171" s="17" t="n">
        <v>1</v>
      </c>
      <c r="G171" s="17" t="s">
        <v>1350</v>
      </c>
      <c r="H171" s="17" t="s">
        <v>1291</v>
      </c>
    </row>
    <row r="172" customFormat="false" ht="15" hidden="false" customHeight="true" outlineLevel="0" collapsed="false">
      <c r="A172" s="19" t="s">
        <v>135</v>
      </c>
      <c r="B172" s="19" t="s">
        <v>400</v>
      </c>
      <c r="C172" s="19" t="s">
        <v>330</v>
      </c>
      <c r="D172" s="19" t="s">
        <v>331</v>
      </c>
      <c r="E172" s="19"/>
      <c r="F172" s="19" t="n">
        <v>0</v>
      </c>
      <c r="G172" s="19"/>
      <c r="H172" s="19"/>
    </row>
    <row r="173" customFormat="false" ht="15" hidden="false" customHeight="true" outlineLevel="0" collapsed="false">
      <c r="A173" s="19" t="s">
        <v>135</v>
      </c>
      <c r="B173" s="19" t="s">
        <v>401</v>
      </c>
      <c r="C173" s="19" t="s">
        <v>330</v>
      </c>
      <c r="D173" s="19" t="s">
        <v>331</v>
      </c>
      <c r="E173" s="19"/>
      <c r="F173" s="19" t="n">
        <v>0</v>
      </c>
      <c r="G173" s="19"/>
      <c r="H173" s="19"/>
    </row>
    <row r="174" customFormat="false" ht="15" hidden="false" customHeight="true" outlineLevel="0" collapsed="false">
      <c r="A174" s="19" t="s">
        <v>135</v>
      </c>
      <c r="B174" s="19" t="s">
        <v>402</v>
      </c>
      <c r="C174" s="19" t="s">
        <v>330</v>
      </c>
      <c r="D174" s="19" t="s">
        <v>331</v>
      </c>
      <c r="E174" s="19"/>
      <c r="F174" s="19" t="n">
        <v>0</v>
      </c>
      <c r="G174" s="19"/>
      <c r="H174" s="19"/>
    </row>
    <row r="175" customFormat="false" ht="15" hidden="false" customHeight="true" outlineLevel="0" collapsed="false">
      <c r="A175" s="19" t="s">
        <v>135</v>
      </c>
      <c r="B175" s="19" t="s">
        <v>403</v>
      </c>
      <c r="C175" s="19" t="s">
        <v>330</v>
      </c>
      <c r="D175" s="19" t="s">
        <v>331</v>
      </c>
      <c r="E175" s="19"/>
      <c r="F175" s="19" t="n">
        <v>0</v>
      </c>
      <c r="G175" s="19"/>
      <c r="H175" s="19"/>
    </row>
    <row r="176" customFormat="false" ht="15" hidden="false" customHeight="true" outlineLevel="0" collapsed="false">
      <c r="A176" s="17" t="s">
        <v>135</v>
      </c>
      <c r="B176" s="17" t="s">
        <v>149</v>
      </c>
      <c r="C176" s="17" t="s">
        <v>404</v>
      </c>
      <c r="D176" s="17" t="s">
        <v>331</v>
      </c>
      <c r="E176" s="17"/>
      <c r="F176" s="17" t="n">
        <v>1</v>
      </c>
      <c r="G176" s="17" t="s">
        <v>1351</v>
      </c>
      <c r="H176" s="17" t="s">
        <v>1352</v>
      </c>
    </row>
    <row r="177" customFormat="false" ht="15" hidden="false" customHeight="true" outlineLevel="0" collapsed="false">
      <c r="A177" s="17" t="s">
        <v>135</v>
      </c>
      <c r="B177" s="17" t="s">
        <v>363</v>
      </c>
      <c r="C177" s="17" t="s">
        <v>330</v>
      </c>
      <c r="D177" s="17" t="s">
        <v>345</v>
      </c>
      <c r="E177" s="17"/>
      <c r="F177" s="17" t="n">
        <v>0</v>
      </c>
      <c r="G177" s="17"/>
      <c r="H177" s="17" t="s">
        <v>1353</v>
      </c>
    </row>
    <row r="178" customFormat="false" ht="15" hidden="false" customHeight="true" outlineLevel="0" collapsed="false">
      <c r="A178" s="19" t="s">
        <v>135</v>
      </c>
      <c r="B178" s="19" t="s">
        <v>364</v>
      </c>
      <c r="C178" s="19" t="s">
        <v>330</v>
      </c>
      <c r="D178" s="19" t="s">
        <v>331</v>
      </c>
      <c r="E178" s="19"/>
      <c r="F178" s="19" t="n">
        <v>0</v>
      </c>
      <c r="G178" s="19"/>
      <c r="H178" s="19"/>
    </row>
    <row r="179" customFormat="false" ht="15" hidden="false" customHeight="true" outlineLevel="0" collapsed="false">
      <c r="A179" s="19" t="s">
        <v>135</v>
      </c>
      <c r="B179" s="19" t="s">
        <v>119</v>
      </c>
      <c r="C179" s="19" t="s">
        <v>330</v>
      </c>
      <c r="D179" s="19" t="s">
        <v>331</v>
      </c>
      <c r="E179" s="19"/>
      <c r="F179" s="19" t="n">
        <v>0</v>
      </c>
      <c r="G179" s="19"/>
      <c r="H179" s="19"/>
    </row>
    <row r="180" customFormat="false" ht="15" hidden="false" customHeight="true" outlineLevel="0" collapsed="false">
      <c r="A180" s="19" t="s">
        <v>135</v>
      </c>
      <c r="B180" s="19" t="s">
        <v>121</v>
      </c>
      <c r="C180" s="19" t="s">
        <v>330</v>
      </c>
      <c r="D180" s="19" t="s">
        <v>331</v>
      </c>
      <c r="E180" s="19"/>
      <c r="F180" s="19" t="n">
        <v>0</v>
      </c>
      <c r="G180" s="19"/>
      <c r="H180" s="19"/>
    </row>
    <row r="181" customFormat="false" ht="15" hidden="false" customHeight="true" outlineLevel="0" collapsed="false">
      <c r="A181" s="17" t="s">
        <v>135</v>
      </c>
      <c r="B181" s="17" t="s">
        <v>152</v>
      </c>
      <c r="C181" s="17" t="s">
        <v>330</v>
      </c>
      <c r="D181" s="17" t="s">
        <v>331</v>
      </c>
      <c r="E181" s="17"/>
      <c r="F181" s="17" t="n">
        <v>1</v>
      </c>
      <c r="G181" s="17" t="s">
        <v>1354</v>
      </c>
      <c r="H181" s="17" t="s">
        <v>1355</v>
      </c>
    </row>
    <row r="182" customFormat="false" ht="15" hidden="false" customHeight="true" outlineLevel="0" collapsed="false">
      <c r="A182" s="19" t="s">
        <v>135</v>
      </c>
      <c r="B182" s="19" t="s">
        <v>408</v>
      </c>
      <c r="C182" s="19" t="s">
        <v>330</v>
      </c>
      <c r="D182" s="19" t="s">
        <v>331</v>
      </c>
      <c r="E182" s="19"/>
      <c r="F182" s="19" t="n">
        <v>0</v>
      </c>
      <c r="G182" s="19"/>
      <c r="H182" s="19"/>
    </row>
    <row r="183" customFormat="false" ht="15" hidden="false" customHeight="true" outlineLevel="0" collapsed="false">
      <c r="A183" s="19" t="s">
        <v>135</v>
      </c>
      <c r="B183" s="19" t="s">
        <v>409</v>
      </c>
      <c r="C183" s="19" t="s">
        <v>404</v>
      </c>
      <c r="D183" s="19" t="s">
        <v>331</v>
      </c>
      <c r="E183" s="19"/>
      <c r="F183" s="19" t="n">
        <v>0</v>
      </c>
      <c r="G183" s="19"/>
      <c r="H183" s="19"/>
    </row>
    <row r="184" customFormat="false" ht="15" hidden="false" customHeight="true" outlineLevel="0" collapsed="false">
      <c r="A184" s="19" t="s">
        <v>135</v>
      </c>
      <c r="B184" s="19" t="s">
        <v>410</v>
      </c>
      <c r="C184" s="19" t="s">
        <v>330</v>
      </c>
      <c r="D184" s="19" t="s">
        <v>331</v>
      </c>
      <c r="E184" s="19"/>
      <c r="F184" s="19" t="n">
        <v>0</v>
      </c>
      <c r="G184" s="19"/>
      <c r="H184" s="19"/>
    </row>
    <row r="185" customFormat="false" ht="15" hidden="false" customHeight="true" outlineLevel="0" collapsed="false">
      <c r="A185" s="19" t="s">
        <v>135</v>
      </c>
      <c r="B185" s="19" t="s">
        <v>411</v>
      </c>
      <c r="C185" s="19" t="s">
        <v>330</v>
      </c>
      <c r="D185" s="19" t="s">
        <v>331</v>
      </c>
      <c r="E185" s="19"/>
      <c r="F185" s="19" t="n">
        <v>0</v>
      </c>
      <c r="G185" s="19"/>
      <c r="H185" s="19"/>
    </row>
    <row r="186" customFormat="false" ht="15" hidden="false" customHeight="true" outlineLevel="0" collapsed="false">
      <c r="A186" s="19" t="s">
        <v>135</v>
      </c>
      <c r="B186" s="19" t="s">
        <v>412</v>
      </c>
      <c r="C186" s="19" t="s">
        <v>330</v>
      </c>
      <c r="D186" s="19" t="s">
        <v>331</v>
      </c>
      <c r="E186" s="19"/>
      <c r="F186" s="19" t="n">
        <v>0</v>
      </c>
      <c r="G186" s="19"/>
      <c r="H186" s="19"/>
    </row>
    <row r="187" customFormat="false" ht="15" hidden="false" customHeight="true" outlineLevel="0" collapsed="false">
      <c r="A187" s="19" t="s">
        <v>135</v>
      </c>
      <c r="B187" s="19" t="s">
        <v>413</v>
      </c>
      <c r="C187" s="19" t="s">
        <v>330</v>
      </c>
      <c r="D187" s="19" t="s">
        <v>331</v>
      </c>
      <c r="E187" s="19"/>
      <c r="F187" s="19" t="n">
        <v>0</v>
      </c>
      <c r="G187" s="19"/>
      <c r="H187" s="19"/>
    </row>
    <row r="188" customFormat="false" ht="15" hidden="false" customHeight="true" outlineLevel="0" collapsed="false">
      <c r="A188" s="19" t="s">
        <v>135</v>
      </c>
      <c r="B188" s="19" t="s">
        <v>414</v>
      </c>
      <c r="C188" s="19" t="s">
        <v>330</v>
      </c>
      <c r="D188" s="19" t="s">
        <v>331</v>
      </c>
      <c r="E188" s="19"/>
      <c r="F188" s="19" t="n">
        <v>0</v>
      </c>
      <c r="G188" s="19"/>
      <c r="H188" s="19"/>
    </row>
    <row r="189" customFormat="false" ht="15" hidden="false" customHeight="true" outlineLevel="0" collapsed="false">
      <c r="A189" s="19" t="s">
        <v>135</v>
      </c>
      <c r="B189" s="19" t="s">
        <v>367</v>
      </c>
      <c r="C189" s="19" t="s">
        <v>330</v>
      </c>
      <c r="D189" s="19" t="s">
        <v>331</v>
      </c>
      <c r="E189" s="19"/>
      <c r="F189" s="19" t="n">
        <v>0</v>
      </c>
      <c r="G189" s="19"/>
      <c r="H189" s="19"/>
    </row>
    <row r="190" customFormat="false" ht="15" hidden="false" customHeight="true" outlineLevel="0" collapsed="false">
      <c r="A190" s="17" t="s">
        <v>135</v>
      </c>
      <c r="B190" s="17" t="s">
        <v>155</v>
      </c>
      <c r="C190" s="17" t="s">
        <v>330</v>
      </c>
      <c r="D190" s="17" t="s">
        <v>331</v>
      </c>
      <c r="E190" s="17"/>
      <c r="F190" s="17" t="n">
        <v>1</v>
      </c>
      <c r="G190" s="17" t="s">
        <v>1356</v>
      </c>
      <c r="H190" s="17" t="s">
        <v>1291</v>
      </c>
    </row>
    <row r="191" customFormat="false" ht="15" hidden="false" customHeight="true" outlineLevel="0" collapsed="false">
      <c r="A191" s="17" t="s">
        <v>135</v>
      </c>
      <c r="B191" s="17" t="s">
        <v>157</v>
      </c>
      <c r="C191" s="17" t="s">
        <v>330</v>
      </c>
      <c r="D191" s="17" t="s">
        <v>331</v>
      </c>
      <c r="E191" s="17"/>
      <c r="F191" s="17" t="n">
        <v>1</v>
      </c>
      <c r="G191" s="17" t="s">
        <v>1357</v>
      </c>
      <c r="H191" s="17" t="s">
        <v>1291</v>
      </c>
    </row>
    <row r="192" customFormat="false" ht="15" hidden="false" customHeight="true" outlineLevel="0" collapsed="false">
      <c r="A192" s="19" t="s">
        <v>135</v>
      </c>
      <c r="B192" s="19" t="s">
        <v>415</v>
      </c>
      <c r="C192" s="19" t="s">
        <v>330</v>
      </c>
      <c r="D192" s="19" t="s">
        <v>331</v>
      </c>
      <c r="E192" s="19"/>
      <c r="F192" s="19" t="n">
        <v>0</v>
      </c>
      <c r="G192" s="19"/>
      <c r="H192" s="19"/>
    </row>
    <row r="193" customFormat="false" ht="15" hidden="false" customHeight="true" outlineLevel="0" collapsed="false">
      <c r="A193" s="19" t="s">
        <v>135</v>
      </c>
      <c r="B193" s="19" t="s">
        <v>416</v>
      </c>
      <c r="C193" s="19" t="s">
        <v>330</v>
      </c>
      <c r="D193" s="19" t="s">
        <v>331</v>
      </c>
      <c r="E193" s="19"/>
      <c r="F193" s="19" t="n">
        <v>0</v>
      </c>
      <c r="G193" s="19"/>
      <c r="H193" s="19"/>
    </row>
    <row r="194" customFormat="false" ht="15" hidden="false" customHeight="true" outlineLevel="0" collapsed="false">
      <c r="A194" s="19" t="s">
        <v>135</v>
      </c>
      <c r="B194" s="19" t="s">
        <v>417</v>
      </c>
      <c r="C194" s="19" t="s">
        <v>404</v>
      </c>
      <c r="D194" s="19" t="s">
        <v>331</v>
      </c>
      <c r="E194" s="19"/>
      <c r="F194" s="19" t="n">
        <v>0</v>
      </c>
      <c r="G194" s="19"/>
      <c r="H194" s="19"/>
    </row>
    <row r="195" customFormat="false" ht="15" hidden="false" customHeight="true" outlineLevel="0" collapsed="false">
      <c r="A195" s="17" t="s">
        <v>135</v>
      </c>
      <c r="B195" s="17" t="s">
        <v>159</v>
      </c>
      <c r="C195" s="17" t="s">
        <v>330</v>
      </c>
      <c r="D195" s="17" t="s">
        <v>331</v>
      </c>
      <c r="E195" s="17"/>
      <c r="F195" s="17" t="n">
        <v>1</v>
      </c>
      <c r="G195" s="17" t="s">
        <v>1358</v>
      </c>
      <c r="H195" s="17" t="s">
        <v>1291</v>
      </c>
    </row>
    <row r="196" customFormat="false" ht="15" hidden="false" customHeight="true" outlineLevel="0" collapsed="false">
      <c r="A196" s="19" t="s">
        <v>135</v>
      </c>
      <c r="B196" s="19" t="s">
        <v>129</v>
      </c>
      <c r="C196" s="19" t="s">
        <v>330</v>
      </c>
      <c r="D196" s="19" t="s">
        <v>331</v>
      </c>
      <c r="E196" s="19"/>
      <c r="F196" s="19" t="n">
        <v>0</v>
      </c>
      <c r="G196" s="19"/>
      <c r="H196" s="19"/>
    </row>
    <row r="197" customFormat="false" ht="15" hidden="false" customHeight="true" outlineLevel="0" collapsed="false">
      <c r="A197" s="19" t="s">
        <v>135</v>
      </c>
      <c r="B197" s="19" t="s">
        <v>131</v>
      </c>
      <c r="C197" s="19" t="s">
        <v>330</v>
      </c>
      <c r="D197" s="19" t="s">
        <v>331</v>
      </c>
      <c r="E197" s="19"/>
      <c r="F197" s="19" t="n">
        <v>0</v>
      </c>
      <c r="G197" s="19"/>
      <c r="H197" s="19"/>
    </row>
    <row r="198" customFormat="false" ht="15" hidden="false" customHeight="true" outlineLevel="0" collapsed="false">
      <c r="A198" s="17" t="s">
        <v>135</v>
      </c>
      <c r="B198" s="17" t="s">
        <v>161</v>
      </c>
      <c r="C198" s="17" t="s">
        <v>330</v>
      </c>
      <c r="D198" s="17" t="s">
        <v>331</v>
      </c>
      <c r="E198" s="17"/>
      <c r="F198" s="17" t="n">
        <v>1</v>
      </c>
      <c r="G198" s="17" t="s">
        <v>1359</v>
      </c>
      <c r="H198" s="17" t="s">
        <v>1291</v>
      </c>
    </row>
    <row r="199" customFormat="false" ht="15" hidden="false" customHeight="true" outlineLevel="0" collapsed="false">
      <c r="A199" s="19" t="s">
        <v>135</v>
      </c>
      <c r="B199" s="19" t="s">
        <v>196</v>
      </c>
      <c r="C199" s="19" t="s">
        <v>330</v>
      </c>
      <c r="D199" s="19" t="s">
        <v>331</v>
      </c>
      <c r="E199" s="19"/>
      <c r="F199" s="19" t="n">
        <v>0</v>
      </c>
      <c r="G199" s="19"/>
      <c r="H199" s="19"/>
    </row>
    <row r="200" customFormat="false" ht="15" hidden="false" customHeight="true" outlineLevel="0" collapsed="false">
      <c r="A200" s="19" t="s">
        <v>135</v>
      </c>
      <c r="B200" s="19" t="s">
        <v>418</v>
      </c>
      <c r="C200" s="19" t="s">
        <v>330</v>
      </c>
      <c r="D200" s="19" t="s">
        <v>331</v>
      </c>
      <c r="E200" s="19"/>
      <c r="F200" s="19" t="n">
        <v>0</v>
      </c>
      <c r="G200" s="19"/>
      <c r="H200" s="19"/>
    </row>
    <row r="201" customFormat="false" ht="15" hidden="false" customHeight="true" outlineLevel="0" collapsed="false">
      <c r="A201" s="19" t="s">
        <v>135</v>
      </c>
      <c r="B201" s="19" t="s">
        <v>419</v>
      </c>
      <c r="C201" s="19" t="s">
        <v>330</v>
      </c>
      <c r="D201" s="19" t="s">
        <v>331</v>
      </c>
      <c r="E201" s="19"/>
      <c r="F201" s="19" t="n">
        <v>0</v>
      </c>
      <c r="G201" s="19"/>
      <c r="H201" s="19"/>
    </row>
    <row r="202" customFormat="false" ht="15" hidden="false" customHeight="true" outlineLevel="0" collapsed="false">
      <c r="A202" s="19" t="s">
        <v>135</v>
      </c>
      <c r="B202" s="19" t="s">
        <v>373</v>
      </c>
      <c r="C202" s="19" t="s">
        <v>330</v>
      </c>
      <c r="D202" s="19" t="s">
        <v>331</v>
      </c>
      <c r="E202" s="19"/>
      <c r="F202" s="19" t="n">
        <v>0</v>
      </c>
      <c r="G202" s="19"/>
      <c r="H202" s="19"/>
    </row>
    <row r="203" customFormat="false" ht="15" hidden="false" customHeight="true" outlineLevel="0" collapsed="false">
      <c r="A203" s="19" t="s">
        <v>135</v>
      </c>
      <c r="B203" s="19" t="s">
        <v>420</v>
      </c>
      <c r="C203" s="19" t="s">
        <v>330</v>
      </c>
      <c r="D203" s="19" t="s">
        <v>331</v>
      </c>
      <c r="E203" s="19"/>
      <c r="F203" s="19" t="n">
        <v>0</v>
      </c>
      <c r="G203" s="19"/>
      <c r="H203" s="19"/>
    </row>
    <row r="204" customFormat="false" ht="15" hidden="false" customHeight="true" outlineLevel="0" collapsed="false">
      <c r="A204" s="19" t="s">
        <v>59</v>
      </c>
      <c r="B204" s="19" t="s">
        <v>213</v>
      </c>
      <c r="C204" s="19" t="s">
        <v>344</v>
      </c>
      <c r="D204" s="19" t="s">
        <v>345</v>
      </c>
      <c r="E204" s="19" t="s">
        <v>1360</v>
      </c>
      <c r="F204" s="19" t="n">
        <v>0</v>
      </c>
      <c r="G204" s="19"/>
      <c r="H204" s="19"/>
    </row>
    <row r="205" customFormat="false" ht="15" hidden="false" customHeight="true" outlineLevel="0" collapsed="false">
      <c r="A205" s="19" t="s">
        <v>59</v>
      </c>
      <c r="B205" s="19" t="s">
        <v>197</v>
      </c>
      <c r="C205" s="19" t="s">
        <v>344</v>
      </c>
      <c r="D205" s="19" t="s">
        <v>345</v>
      </c>
      <c r="E205" s="19" t="s">
        <v>1360</v>
      </c>
      <c r="F205" s="19" t="n">
        <v>0</v>
      </c>
      <c r="G205" s="19"/>
      <c r="H205" s="19"/>
    </row>
    <row r="206" customFormat="false" ht="15" hidden="false" customHeight="true" outlineLevel="0" collapsed="false">
      <c r="A206" s="23" t="s">
        <v>59</v>
      </c>
      <c r="B206" s="23" t="s">
        <v>93</v>
      </c>
      <c r="C206" s="23" t="s">
        <v>1268</v>
      </c>
      <c r="D206" s="23" t="s">
        <v>1269</v>
      </c>
      <c r="E206" s="23" t="s">
        <v>1361</v>
      </c>
      <c r="F206" s="23" t="n">
        <v>0</v>
      </c>
      <c r="G206" s="23"/>
      <c r="H206" s="23" t="s">
        <v>1271</v>
      </c>
    </row>
    <row r="207" customFormat="false" ht="15" hidden="false" customHeight="true" outlineLevel="0" collapsed="false">
      <c r="A207" s="19" t="s">
        <v>59</v>
      </c>
      <c r="B207" s="19" t="s">
        <v>89</v>
      </c>
      <c r="C207" s="19" t="s">
        <v>344</v>
      </c>
      <c r="D207" s="19" t="s">
        <v>345</v>
      </c>
      <c r="E207" s="19" t="s">
        <v>1360</v>
      </c>
      <c r="F207" s="19" t="n">
        <v>0</v>
      </c>
      <c r="G207" s="19"/>
      <c r="H207" s="19"/>
    </row>
    <row r="208" customFormat="false" ht="15" hidden="false" customHeight="true" outlineLevel="0" collapsed="false">
      <c r="A208" s="19" t="s">
        <v>59</v>
      </c>
      <c r="B208" s="19" t="s">
        <v>422</v>
      </c>
      <c r="C208" s="19" t="s">
        <v>344</v>
      </c>
      <c r="D208" s="19" t="s">
        <v>345</v>
      </c>
      <c r="E208" s="19" t="s">
        <v>1360</v>
      </c>
      <c r="F208" s="19" t="n">
        <v>0</v>
      </c>
      <c r="G208" s="19"/>
      <c r="H208" s="19"/>
    </row>
    <row r="209" customFormat="false" ht="15" hidden="false" customHeight="true" outlineLevel="0" collapsed="false">
      <c r="A209" s="23" t="s">
        <v>59</v>
      </c>
      <c r="B209" s="23" t="s">
        <v>14</v>
      </c>
      <c r="C209" s="23" t="s">
        <v>1268</v>
      </c>
      <c r="D209" s="23" t="s">
        <v>1269</v>
      </c>
      <c r="E209" s="23" t="s">
        <v>1360</v>
      </c>
      <c r="F209" s="23" t="n">
        <v>0</v>
      </c>
      <c r="G209" s="23"/>
      <c r="H209" s="23" t="s">
        <v>1271</v>
      </c>
    </row>
    <row r="210" customFormat="false" ht="15" hidden="false" customHeight="true" outlineLevel="0" collapsed="false">
      <c r="A210" s="19" t="s">
        <v>59</v>
      </c>
      <c r="B210" s="19" t="s">
        <v>20</v>
      </c>
      <c r="C210" s="19" t="s">
        <v>344</v>
      </c>
      <c r="D210" s="19" t="s">
        <v>345</v>
      </c>
      <c r="E210" s="19" t="s">
        <v>1360</v>
      </c>
      <c r="F210" s="19" t="n">
        <v>0</v>
      </c>
      <c r="G210" s="19"/>
      <c r="H210" s="19"/>
    </row>
    <row r="211" customFormat="false" ht="15" hidden="false" customHeight="true" outlineLevel="0" collapsed="false">
      <c r="A211" s="19" t="s">
        <v>59</v>
      </c>
      <c r="B211" s="19" t="s">
        <v>29</v>
      </c>
      <c r="C211" s="19" t="s">
        <v>344</v>
      </c>
      <c r="D211" s="19" t="s">
        <v>345</v>
      </c>
      <c r="E211" s="19" t="s">
        <v>1362</v>
      </c>
      <c r="F211" s="19" t="n">
        <v>0</v>
      </c>
      <c r="G211" s="19"/>
      <c r="H211" s="19"/>
    </row>
    <row r="212" customFormat="false" ht="15" hidden="false" customHeight="true" outlineLevel="0" collapsed="false">
      <c r="A212" s="19" t="s">
        <v>59</v>
      </c>
      <c r="B212" s="19" t="s">
        <v>32</v>
      </c>
      <c r="C212" s="19" t="s">
        <v>344</v>
      </c>
      <c r="D212" s="19" t="s">
        <v>345</v>
      </c>
      <c r="E212" s="19" t="s">
        <v>1362</v>
      </c>
      <c r="F212" s="19" t="n">
        <v>0</v>
      </c>
      <c r="G212" s="19"/>
      <c r="H212" s="19"/>
    </row>
    <row r="213" customFormat="false" ht="15" hidden="false" customHeight="true" outlineLevel="0" collapsed="false">
      <c r="A213" s="19" t="s">
        <v>59</v>
      </c>
      <c r="B213" s="19" t="s">
        <v>423</v>
      </c>
      <c r="C213" s="19" t="s">
        <v>344</v>
      </c>
      <c r="D213" s="19" t="s">
        <v>345</v>
      </c>
      <c r="E213" s="19" t="s">
        <v>1362</v>
      </c>
      <c r="F213" s="19" t="n">
        <v>0</v>
      </c>
      <c r="G213" s="19"/>
      <c r="H213" s="19"/>
    </row>
    <row r="214" customFormat="false" ht="15" hidden="false" customHeight="true" outlineLevel="0" collapsed="false">
      <c r="A214" s="17" t="s">
        <v>59</v>
      </c>
      <c r="B214" s="17" t="s">
        <v>163</v>
      </c>
      <c r="C214" s="17" t="s">
        <v>344</v>
      </c>
      <c r="D214" s="17" t="s">
        <v>345</v>
      </c>
      <c r="E214" s="17" t="s">
        <v>1362</v>
      </c>
      <c r="F214" s="17" t="n">
        <v>1</v>
      </c>
      <c r="G214" s="17" t="s">
        <v>1363</v>
      </c>
      <c r="H214" s="17" t="s">
        <v>1283</v>
      </c>
    </row>
    <row r="215" customFormat="false" ht="15" hidden="false" customHeight="true" outlineLevel="0" collapsed="false">
      <c r="A215" s="19" t="s">
        <v>59</v>
      </c>
      <c r="B215" s="19" t="s">
        <v>376</v>
      </c>
      <c r="C215" s="19" t="s">
        <v>344</v>
      </c>
      <c r="D215" s="19" t="s">
        <v>345</v>
      </c>
      <c r="E215" s="19" t="s">
        <v>1362</v>
      </c>
      <c r="F215" s="19" t="n">
        <v>0</v>
      </c>
      <c r="G215" s="19"/>
      <c r="H215" s="19"/>
    </row>
    <row r="216" customFormat="false" ht="15" hidden="false" customHeight="true" outlineLevel="0" collapsed="false">
      <c r="A216" s="19" t="s">
        <v>59</v>
      </c>
      <c r="B216" s="19" t="s">
        <v>424</v>
      </c>
      <c r="C216" s="19" t="s">
        <v>344</v>
      </c>
      <c r="D216" s="19" t="s">
        <v>345</v>
      </c>
      <c r="E216" s="19" t="s">
        <v>1362</v>
      </c>
      <c r="F216" s="19" t="n">
        <v>0</v>
      </c>
      <c r="G216" s="19"/>
      <c r="H216" s="19"/>
    </row>
    <row r="217" customFormat="false" ht="15" hidden="false" customHeight="true" outlineLevel="0" collapsed="false">
      <c r="A217" s="19" t="s">
        <v>59</v>
      </c>
      <c r="B217" s="19" t="s">
        <v>328</v>
      </c>
      <c r="C217" s="19" t="s">
        <v>344</v>
      </c>
      <c r="D217" s="19" t="s">
        <v>345</v>
      </c>
      <c r="E217" s="19" t="s">
        <v>1362</v>
      </c>
      <c r="F217" s="19" t="n">
        <v>0</v>
      </c>
      <c r="G217" s="19"/>
      <c r="H217" s="19"/>
    </row>
    <row r="218" customFormat="false" ht="15" hidden="false" customHeight="true" outlineLevel="0" collapsed="false">
      <c r="A218" s="19" t="s">
        <v>59</v>
      </c>
      <c r="B218" s="19" t="s">
        <v>195</v>
      </c>
      <c r="C218" s="19" t="s">
        <v>325</v>
      </c>
      <c r="D218" s="19" t="s">
        <v>538</v>
      </c>
      <c r="E218" s="19" t="s">
        <v>1272</v>
      </c>
      <c r="F218" s="19" t="n">
        <v>0</v>
      </c>
      <c r="G218" s="19"/>
      <c r="H218" s="19"/>
    </row>
    <row r="219" customFormat="false" ht="15" hidden="false" customHeight="true" outlineLevel="0" collapsed="false">
      <c r="A219" s="19" t="s">
        <v>59</v>
      </c>
      <c r="B219" s="19" t="s">
        <v>426</v>
      </c>
      <c r="C219" s="19" t="s">
        <v>344</v>
      </c>
      <c r="D219" s="19" t="s">
        <v>345</v>
      </c>
      <c r="E219" s="19" t="s">
        <v>1362</v>
      </c>
      <c r="F219" s="19" t="n">
        <v>0</v>
      </c>
      <c r="G219" s="19"/>
      <c r="H219" s="19"/>
    </row>
    <row r="220" customFormat="false" ht="15" hidden="false" customHeight="true" outlineLevel="0" collapsed="false">
      <c r="A220" s="19" t="s">
        <v>59</v>
      </c>
      <c r="B220" s="19" t="s">
        <v>427</v>
      </c>
      <c r="C220" s="19" t="s">
        <v>344</v>
      </c>
      <c r="D220" s="19" t="s">
        <v>345</v>
      </c>
      <c r="E220" s="19" t="s">
        <v>1362</v>
      </c>
      <c r="F220" s="19" t="n">
        <v>0</v>
      </c>
      <c r="G220" s="19"/>
      <c r="H220" s="19"/>
    </row>
    <row r="221" customFormat="false" ht="15" hidden="false" customHeight="true" outlineLevel="0" collapsed="false">
      <c r="A221" s="19" t="s">
        <v>59</v>
      </c>
      <c r="B221" s="19" t="s">
        <v>428</v>
      </c>
      <c r="C221" s="19" t="s">
        <v>344</v>
      </c>
      <c r="D221" s="19" t="s">
        <v>345</v>
      </c>
      <c r="E221" s="19" t="s">
        <v>1362</v>
      </c>
      <c r="F221" s="19" t="n">
        <v>0</v>
      </c>
      <c r="G221" s="19"/>
      <c r="H221" s="19"/>
    </row>
    <row r="222" customFormat="false" ht="15" hidden="false" customHeight="true" outlineLevel="0" collapsed="false">
      <c r="A222" s="19" t="s">
        <v>59</v>
      </c>
      <c r="B222" s="19" t="s">
        <v>429</v>
      </c>
      <c r="C222" s="19" t="s">
        <v>344</v>
      </c>
      <c r="D222" s="19" t="s">
        <v>345</v>
      </c>
      <c r="E222" s="19" t="s">
        <v>1362</v>
      </c>
      <c r="F222" s="19" t="n">
        <v>0</v>
      </c>
      <c r="G222" s="19"/>
      <c r="H222" s="19"/>
    </row>
    <row r="223" customFormat="false" ht="15" hidden="false" customHeight="true" outlineLevel="0" collapsed="false">
      <c r="A223" s="19" t="s">
        <v>59</v>
      </c>
      <c r="B223" s="19" t="s">
        <v>430</v>
      </c>
      <c r="C223" s="19" t="s">
        <v>344</v>
      </c>
      <c r="D223" s="19" t="s">
        <v>345</v>
      </c>
      <c r="E223" s="19" t="s">
        <v>1362</v>
      </c>
      <c r="F223" s="19" t="n">
        <v>0</v>
      </c>
      <c r="G223" s="19"/>
      <c r="H223" s="19"/>
    </row>
    <row r="224" customFormat="false" ht="15" hidden="false" customHeight="true" outlineLevel="0" collapsed="false">
      <c r="A224" s="19" t="s">
        <v>59</v>
      </c>
      <c r="B224" s="19" t="s">
        <v>431</v>
      </c>
      <c r="C224" s="19" t="s">
        <v>344</v>
      </c>
      <c r="D224" s="19" t="s">
        <v>345</v>
      </c>
      <c r="E224" s="19" t="s">
        <v>1227</v>
      </c>
      <c r="F224" s="19" t="n">
        <v>0</v>
      </c>
      <c r="G224" s="19"/>
      <c r="H224" s="19"/>
    </row>
    <row r="225" customFormat="false" ht="15" hidden="false" customHeight="true" outlineLevel="0" collapsed="false">
      <c r="A225" s="19" t="s">
        <v>59</v>
      </c>
      <c r="B225" s="19" t="s">
        <v>432</v>
      </c>
      <c r="C225" s="19" t="s">
        <v>344</v>
      </c>
      <c r="D225" s="19" t="s">
        <v>345</v>
      </c>
      <c r="E225" s="19" t="s">
        <v>1362</v>
      </c>
      <c r="F225" s="19" t="n">
        <v>0</v>
      </c>
      <c r="G225" s="19"/>
      <c r="H225" s="19"/>
    </row>
    <row r="226" customFormat="false" ht="15" hidden="false" customHeight="true" outlineLevel="0" collapsed="false">
      <c r="A226" s="19" t="s">
        <v>59</v>
      </c>
      <c r="B226" s="19" t="s">
        <v>433</v>
      </c>
      <c r="C226" s="19" t="s">
        <v>344</v>
      </c>
      <c r="D226" s="19" t="s">
        <v>345</v>
      </c>
      <c r="E226" s="19" t="s">
        <v>1228</v>
      </c>
      <c r="F226" s="19" t="n">
        <v>0</v>
      </c>
      <c r="G226" s="19"/>
      <c r="H226" s="19"/>
    </row>
    <row r="227" customFormat="false" ht="15" hidden="false" customHeight="true" outlineLevel="0" collapsed="false">
      <c r="A227" s="19" t="s">
        <v>59</v>
      </c>
      <c r="B227" s="19" t="s">
        <v>96</v>
      </c>
      <c r="C227" s="19" t="s">
        <v>344</v>
      </c>
      <c r="D227" s="19" t="s">
        <v>345</v>
      </c>
      <c r="E227" s="19"/>
      <c r="F227" s="19" t="n">
        <v>0</v>
      </c>
      <c r="G227" s="19"/>
      <c r="H227" s="19"/>
    </row>
    <row r="228" customFormat="false" ht="15" hidden="false" customHeight="true" outlineLevel="0" collapsed="false">
      <c r="A228" s="19" t="s">
        <v>59</v>
      </c>
      <c r="B228" s="19" t="s">
        <v>434</v>
      </c>
      <c r="C228" s="19" t="s">
        <v>344</v>
      </c>
      <c r="D228" s="19" t="s">
        <v>345</v>
      </c>
      <c r="E228" s="19"/>
      <c r="F228" s="19" t="n">
        <v>0</v>
      </c>
      <c r="G228" s="19"/>
      <c r="H228" s="19"/>
    </row>
    <row r="229" customFormat="false" ht="15" hidden="false" customHeight="true" outlineLevel="0" collapsed="false">
      <c r="A229" s="19" t="s">
        <v>59</v>
      </c>
      <c r="B229" s="19" t="s">
        <v>435</v>
      </c>
      <c r="C229" s="19" t="s">
        <v>344</v>
      </c>
      <c r="D229" s="19" t="s">
        <v>345</v>
      </c>
      <c r="E229" s="19"/>
      <c r="F229" s="19" t="n">
        <v>0</v>
      </c>
      <c r="G229" s="19"/>
      <c r="H229" s="19"/>
    </row>
    <row r="230" customFormat="false" ht="15" hidden="false" customHeight="true" outlineLevel="0" collapsed="false">
      <c r="A230" s="19" t="s">
        <v>59</v>
      </c>
      <c r="B230" s="19" t="s">
        <v>436</v>
      </c>
      <c r="C230" s="19" t="s">
        <v>344</v>
      </c>
      <c r="D230" s="19" t="s">
        <v>345</v>
      </c>
      <c r="E230" s="19"/>
      <c r="F230" s="19" t="n">
        <v>0</v>
      </c>
      <c r="G230" s="19"/>
      <c r="H230" s="19"/>
    </row>
    <row r="231" customFormat="false" ht="15" hidden="false" customHeight="true" outlineLevel="0" collapsed="false">
      <c r="A231" s="19" t="s">
        <v>59</v>
      </c>
      <c r="B231" s="19" t="s">
        <v>437</v>
      </c>
      <c r="C231" s="19" t="s">
        <v>344</v>
      </c>
      <c r="D231" s="19" t="s">
        <v>345</v>
      </c>
      <c r="E231" s="19"/>
      <c r="F231" s="19" t="n">
        <v>0</v>
      </c>
      <c r="G231" s="19"/>
      <c r="H231" s="19"/>
    </row>
    <row r="232" customFormat="false" ht="15" hidden="false" customHeight="true" outlineLevel="0" collapsed="false">
      <c r="A232" s="19" t="s">
        <v>59</v>
      </c>
      <c r="B232" s="19" t="s">
        <v>190</v>
      </c>
      <c r="C232" s="19" t="s">
        <v>344</v>
      </c>
      <c r="D232" s="19" t="s">
        <v>345</v>
      </c>
      <c r="E232" s="19"/>
      <c r="F232" s="19" t="n">
        <v>0</v>
      </c>
      <c r="G232" s="19"/>
      <c r="H232" s="19"/>
    </row>
    <row r="233" customFormat="false" ht="15" hidden="false" customHeight="true" outlineLevel="0" collapsed="false">
      <c r="A233" s="19" t="s">
        <v>59</v>
      </c>
      <c r="B233" s="19" t="s">
        <v>438</v>
      </c>
      <c r="C233" s="19" t="s">
        <v>344</v>
      </c>
      <c r="D233" s="19" t="s">
        <v>345</v>
      </c>
      <c r="E233" s="19"/>
      <c r="F233" s="19" t="n">
        <v>0</v>
      </c>
      <c r="G233" s="19"/>
      <c r="H233" s="19"/>
    </row>
    <row r="234" customFormat="false" ht="15" hidden="false" customHeight="true" outlineLevel="0" collapsed="false">
      <c r="A234" s="19" t="s">
        <v>59</v>
      </c>
      <c r="B234" s="19" t="s">
        <v>439</v>
      </c>
      <c r="C234" s="19" t="s">
        <v>344</v>
      </c>
      <c r="D234" s="19" t="s">
        <v>345</v>
      </c>
      <c r="E234" s="19"/>
      <c r="F234" s="19" t="n">
        <v>0</v>
      </c>
      <c r="G234" s="19"/>
      <c r="H234" s="19"/>
    </row>
    <row r="235" customFormat="false" ht="15" hidden="false" customHeight="true" outlineLevel="0" collapsed="false">
      <c r="A235" s="19" t="s">
        <v>59</v>
      </c>
      <c r="B235" s="19" t="s">
        <v>440</v>
      </c>
      <c r="C235" s="19" t="s">
        <v>344</v>
      </c>
      <c r="D235" s="19" t="s">
        <v>345</v>
      </c>
      <c r="E235" s="19"/>
      <c r="F235" s="19" t="n">
        <v>0</v>
      </c>
      <c r="G235" s="19"/>
      <c r="H235" s="19"/>
    </row>
    <row r="236" customFormat="false" ht="15" hidden="false" customHeight="true" outlineLevel="0" collapsed="false">
      <c r="A236" s="19" t="s">
        <v>59</v>
      </c>
      <c r="B236" s="19" t="s">
        <v>441</v>
      </c>
      <c r="C236" s="19" t="s">
        <v>344</v>
      </c>
      <c r="D236" s="19" t="s">
        <v>345</v>
      </c>
      <c r="E236" s="19"/>
      <c r="F236" s="19" t="n">
        <v>0</v>
      </c>
      <c r="G236" s="19"/>
      <c r="H236" s="19"/>
    </row>
    <row r="237" customFormat="false" ht="15" hidden="false" customHeight="true" outlineLevel="0" collapsed="false">
      <c r="A237" s="19" t="s">
        <v>59</v>
      </c>
      <c r="B237" s="19" t="s">
        <v>442</v>
      </c>
      <c r="C237" s="19" t="s">
        <v>344</v>
      </c>
      <c r="D237" s="19" t="s">
        <v>345</v>
      </c>
      <c r="E237" s="19"/>
      <c r="F237" s="19" t="n">
        <v>0</v>
      </c>
      <c r="G237" s="19"/>
      <c r="H237" s="19"/>
    </row>
    <row r="238" customFormat="false" ht="15" hidden="false" customHeight="true" outlineLevel="0" collapsed="false">
      <c r="A238" s="23" t="s">
        <v>59</v>
      </c>
      <c r="B238" s="23" t="s">
        <v>210</v>
      </c>
      <c r="C238" s="23" t="s">
        <v>1268</v>
      </c>
      <c r="D238" s="23" t="s">
        <v>1269</v>
      </c>
      <c r="E238" s="23" t="s">
        <v>1361</v>
      </c>
      <c r="F238" s="23" t="n">
        <v>0</v>
      </c>
      <c r="G238" s="23"/>
      <c r="H238" s="23" t="s">
        <v>1271</v>
      </c>
    </row>
    <row r="239" customFormat="false" ht="15" hidden="false" customHeight="true" outlineLevel="0" collapsed="false">
      <c r="A239" s="19" t="s">
        <v>59</v>
      </c>
      <c r="B239" s="19" t="s">
        <v>185</v>
      </c>
      <c r="C239" s="19" t="s">
        <v>538</v>
      </c>
      <c r="D239" s="19" t="s">
        <v>1364</v>
      </c>
      <c r="E239" s="19"/>
      <c r="F239" s="19" t="n">
        <v>0</v>
      </c>
      <c r="G239" s="19"/>
      <c r="H239" s="19"/>
    </row>
    <row r="240" customFormat="false" ht="15" hidden="false" customHeight="true" outlineLevel="0" collapsed="false">
      <c r="A240" s="19" t="s">
        <v>59</v>
      </c>
      <c r="B240" s="19" t="s">
        <v>443</v>
      </c>
      <c r="C240" s="19" t="s">
        <v>344</v>
      </c>
      <c r="D240" s="19" t="s">
        <v>345</v>
      </c>
      <c r="E240" s="19"/>
      <c r="F240" s="19" t="n">
        <v>0</v>
      </c>
      <c r="G240" s="19"/>
      <c r="H240" s="19"/>
    </row>
    <row r="241" customFormat="false" ht="15" hidden="false" customHeight="true" outlineLevel="0" collapsed="false">
      <c r="A241" s="17" t="s">
        <v>59</v>
      </c>
      <c r="B241" s="17" t="s">
        <v>166</v>
      </c>
      <c r="C241" s="17" t="s">
        <v>344</v>
      </c>
      <c r="D241" s="17" t="s">
        <v>345</v>
      </c>
      <c r="E241" s="17"/>
      <c r="F241" s="17" t="n">
        <v>1</v>
      </c>
      <c r="G241" s="17" t="s">
        <v>1365</v>
      </c>
      <c r="H241" s="17" t="s">
        <v>1283</v>
      </c>
    </row>
    <row r="242" customFormat="false" ht="15" hidden="false" customHeight="true" outlineLevel="0" collapsed="false">
      <c r="A242" s="19" t="s">
        <v>59</v>
      </c>
      <c r="B242" s="19" t="s">
        <v>444</v>
      </c>
      <c r="C242" s="19" t="s">
        <v>330</v>
      </c>
      <c r="D242" s="19" t="s">
        <v>331</v>
      </c>
      <c r="E242" s="19"/>
      <c r="F242" s="19" t="n">
        <v>0</v>
      </c>
      <c r="G242" s="19"/>
      <c r="H242" s="19"/>
    </row>
    <row r="243" customFormat="false" ht="15" hidden="false" customHeight="true" outlineLevel="0" collapsed="false">
      <c r="A243" s="19" t="s">
        <v>59</v>
      </c>
      <c r="B243" s="19" t="s">
        <v>343</v>
      </c>
      <c r="C243" s="19" t="s">
        <v>344</v>
      </c>
      <c r="D243" s="19" t="s">
        <v>345</v>
      </c>
      <c r="E243" s="19"/>
      <c r="F243" s="19" t="n">
        <v>0</v>
      </c>
      <c r="G243" s="19"/>
      <c r="H243" s="19"/>
    </row>
    <row r="244" customFormat="false" ht="15" hidden="false" customHeight="true" outlineLevel="0" collapsed="false">
      <c r="A244" s="19" t="s">
        <v>59</v>
      </c>
      <c r="B244" s="19" t="s">
        <v>386</v>
      </c>
      <c r="C244" s="19" t="s">
        <v>344</v>
      </c>
      <c r="D244" s="19" t="s">
        <v>345</v>
      </c>
      <c r="E244" s="19"/>
      <c r="F244" s="19" t="n">
        <v>0</v>
      </c>
      <c r="G244" s="19"/>
      <c r="H244" s="19"/>
    </row>
    <row r="245" customFormat="false" ht="15" hidden="false" customHeight="true" outlineLevel="0" collapsed="false">
      <c r="A245" s="19" t="s">
        <v>59</v>
      </c>
      <c r="B245" s="19" t="s">
        <v>105</v>
      </c>
      <c r="C245" s="19" t="s">
        <v>344</v>
      </c>
      <c r="D245" s="19" t="s">
        <v>345</v>
      </c>
      <c r="E245" s="19"/>
      <c r="F245" s="19" t="n">
        <v>0</v>
      </c>
      <c r="G245" s="19"/>
      <c r="H245" s="19"/>
    </row>
    <row r="246" customFormat="false" ht="15" hidden="false" customHeight="true" outlineLevel="0" collapsed="false">
      <c r="A246" s="19" t="s">
        <v>59</v>
      </c>
      <c r="B246" s="19" t="s">
        <v>445</v>
      </c>
      <c r="C246" s="19" t="s">
        <v>344</v>
      </c>
      <c r="D246" s="19" t="s">
        <v>345</v>
      </c>
      <c r="E246" s="19"/>
      <c r="F246" s="19" t="n">
        <v>0</v>
      </c>
      <c r="G246" s="19"/>
      <c r="H246" s="19"/>
    </row>
    <row r="247" customFormat="false" ht="15" hidden="false" customHeight="true" outlineLevel="0" collapsed="false">
      <c r="A247" s="19" t="s">
        <v>59</v>
      </c>
      <c r="B247" s="19" t="s">
        <v>143</v>
      </c>
      <c r="C247" s="19" t="s">
        <v>344</v>
      </c>
      <c r="D247" s="19" t="s">
        <v>345</v>
      </c>
      <c r="E247" s="19"/>
      <c r="F247" s="19" t="n">
        <v>0</v>
      </c>
      <c r="G247" s="19"/>
      <c r="H247" s="19"/>
    </row>
    <row r="248" customFormat="false" ht="15" hidden="false" customHeight="true" outlineLevel="0" collapsed="false">
      <c r="A248" s="19" t="s">
        <v>59</v>
      </c>
      <c r="B248" s="19" t="s">
        <v>446</v>
      </c>
      <c r="C248" s="19" t="s">
        <v>344</v>
      </c>
      <c r="D248" s="19" t="s">
        <v>345</v>
      </c>
      <c r="E248" s="19"/>
      <c r="F248" s="19" t="n">
        <v>0</v>
      </c>
      <c r="G248" s="19"/>
      <c r="H248" s="19"/>
    </row>
    <row r="249" customFormat="false" ht="15" hidden="false" customHeight="true" outlineLevel="0" collapsed="false">
      <c r="A249" s="19" t="s">
        <v>59</v>
      </c>
      <c r="B249" s="19" t="s">
        <v>388</v>
      </c>
      <c r="C249" s="19" t="s">
        <v>344</v>
      </c>
      <c r="D249" s="19" t="s">
        <v>345</v>
      </c>
      <c r="E249" s="19"/>
      <c r="F249" s="19" t="n">
        <v>0</v>
      </c>
      <c r="G249" s="19"/>
      <c r="H249" s="19"/>
    </row>
    <row r="250" customFormat="false" ht="15" hidden="false" customHeight="true" outlineLevel="0" collapsed="false">
      <c r="A250" s="19" t="s">
        <v>59</v>
      </c>
      <c r="B250" s="19" t="s">
        <v>346</v>
      </c>
      <c r="C250" s="19" t="s">
        <v>344</v>
      </c>
      <c r="D250" s="19" t="s">
        <v>345</v>
      </c>
      <c r="E250" s="19"/>
      <c r="F250" s="19" t="n">
        <v>0</v>
      </c>
      <c r="G250" s="19"/>
      <c r="H250" s="19"/>
    </row>
    <row r="251" customFormat="false" ht="15" hidden="false" customHeight="true" outlineLevel="0" collapsed="false">
      <c r="A251" s="19" t="s">
        <v>59</v>
      </c>
      <c r="B251" s="19" t="s">
        <v>390</v>
      </c>
      <c r="C251" s="19" t="s">
        <v>344</v>
      </c>
      <c r="D251" s="19" t="s">
        <v>345</v>
      </c>
      <c r="E251" s="19"/>
      <c r="F251" s="19" t="n">
        <v>0</v>
      </c>
      <c r="G251" s="19"/>
      <c r="H251" s="19"/>
    </row>
    <row r="252" customFormat="false" ht="15" hidden="false" customHeight="true" outlineLevel="0" collapsed="false">
      <c r="A252" s="19" t="s">
        <v>59</v>
      </c>
      <c r="B252" s="19" t="s">
        <v>391</v>
      </c>
      <c r="C252" s="19" t="s">
        <v>344</v>
      </c>
      <c r="D252" s="19" t="s">
        <v>345</v>
      </c>
      <c r="E252" s="19"/>
      <c r="F252" s="19" t="n">
        <v>0</v>
      </c>
      <c r="G252" s="19"/>
      <c r="H252" s="19"/>
    </row>
    <row r="253" customFormat="false" ht="15" hidden="false" customHeight="true" outlineLevel="0" collapsed="false">
      <c r="A253" s="19" t="s">
        <v>59</v>
      </c>
      <c r="B253" s="19" t="s">
        <v>447</v>
      </c>
      <c r="C253" s="19" t="s">
        <v>344</v>
      </c>
      <c r="D253" s="19" t="s">
        <v>345</v>
      </c>
      <c r="E253" s="19"/>
      <c r="F253" s="19" t="n">
        <v>0</v>
      </c>
      <c r="G253" s="19"/>
      <c r="H253" s="19"/>
    </row>
    <row r="254" customFormat="false" ht="15" hidden="false" customHeight="true" outlineLevel="0" collapsed="false">
      <c r="A254" s="17" t="s">
        <v>59</v>
      </c>
      <c r="B254" s="17" t="s">
        <v>168</v>
      </c>
      <c r="C254" s="17" t="s">
        <v>344</v>
      </c>
      <c r="D254" s="17" t="s">
        <v>345</v>
      </c>
      <c r="E254" s="17"/>
      <c r="F254" s="17" t="n">
        <v>1</v>
      </c>
      <c r="G254" s="17" t="s">
        <v>1366</v>
      </c>
      <c r="H254" s="17" t="s">
        <v>1283</v>
      </c>
    </row>
    <row r="255" customFormat="false" ht="15" hidden="false" customHeight="true" outlineLevel="0" collapsed="false">
      <c r="A255" s="19" t="s">
        <v>59</v>
      </c>
      <c r="B255" s="19" t="s">
        <v>360</v>
      </c>
      <c r="C255" s="19" t="s">
        <v>344</v>
      </c>
      <c r="D255" s="19" t="s">
        <v>345</v>
      </c>
      <c r="E255" s="19"/>
      <c r="F255" s="19" t="n">
        <v>0</v>
      </c>
      <c r="G255" s="19"/>
      <c r="H255" s="19"/>
    </row>
    <row r="256" customFormat="false" ht="15" hidden="false" customHeight="true" outlineLevel="0" collapsed="false">
      <c r="A256" s="19" t="s">
        <v>59</v>
      </c>
      <c r="B256" s="19" t="s">
        <v>448</v>
      </c>
      <c r="C256" s="19" t="s">
        <v>344</v>
      </c>
      <c r="D256" s="19" t="s">
        <v>345</v>
      </c>
      <c r="E256" s="19"/>
      <c r="F256" s="19" t="n">
        <v>0</v>
      </c>
      <c r="G256" s="19"/>
      <c r="H256" s="19"/>
    </row>
    <row r="257" customFormat="false" ht="15" hidden="false" customHeight="true" outlineLevel="0" collapsed="false">
      <c r="A257" s="19" t="s">
        <v>59</v>
      </c>
      <c r="B257" s="19" t="s">
        <v>400</v>
      </c>
      <c r="C257" s="19" t="s">
        <v>344</v>
      </c>
      <c r="D257" s="19" t="s">
        <v>345</v>
      </c>
      <c r="E257" s="19"/>
      <c r="F257" s="19" t="n">
        <v>0</v>
      </c>
      <c r="G257" s="19"/>
      <c r="H257" s="19"/>
    </row>
    <row r="258" customFormat="false" ht="15" hidden="false" customHeight="true" outlineLevel="0" collapsed="false">
      <c r="A258" s="19" t="s">
        <v>59</v>
      </c>
      <c r="B258" s="19" t="s">
        <v>449</v>
      </c>
      <c r="C258" s="19" t="s">
        <v>344</v>
      </c>
      <c r="D258" s="19" t="s">
        <v>345</v>
      </c>
      <c r="E258" s="19"/>
      <c r="F258" s="19" t="n">
        <v>0</v>
      </c>
      <c r="G258" s="19"/>
      <c r="H258" s="19"/>
    </row>
    <row r="259" customFormat="false" ht="15" hidden="false" customHeight="true" outlineLevel="0" collapsed="false">
      <c r="A259" s="19" t="s">
        <v>59</v>
      </c>
      <c r="B259" s="19" t="s">
        <v>414</v>
      </c>
      <c r="C259" s="19" t="s">
        <v>344</v>
      </c>
      <c r="D259" s="19" t="s">
        <v>345</v>
      </c>
      <c r="E259" s="19"/>
      <c r="F259" s="19" t="n">
        <v>0</v>
      </c>
      <c r="G259" s="19"/>
      <c r="H259" s="19"/>
    </row>
    <row r="260" customFormat="false" ht="15" hidden="false" customHeight="true" outlineLevel="0" collapsed="false">
      <c r="A260" s="19" t="s">
        <v>59</v>
      </c>
      <c r="B260" s="19" t="s">
        <v>450</v>
      </c>
      <c r="C260" s="19" t="s">
        <v>344</v>
      </c>
      <c r="D260" s="19" t="s">
        <v>345</v>
      </c>
      <c r="E260" s="19"/>
      <c r="F260" s="19" t="n">
        <v>0</v>
      </c>
      <c r="G260" s="19"/>
      <c r="H260" s="19"/>
    </row>
    <row r="261" customFormat="false" ht="15" hidden="false" customHeight="true" outlineLevel="0" collapsed="false">
      <c r="A261" s="19" t="s">
        <v>59</v>
      </c>
      <c r="B261" s="19" t="s">
        <v>366</v>
      </c>
      <c r="C261" s="19" t="s">
        <v>344</v>
      </c>
      <c r="D261" s="19" t="s">
        <v>345</v>
      </c>
      <c r="E261" s="19"/>
      <c r="F261" s="19" t="n">
        <v>0</v>
      </c>
      <c r="G261" s="19"/>
      <c r="H261" s="19"/>
    </row>
    <row r="262" customFormat="false" ht="15" hidden="false" customHeight="true" outlineLevel="0" collapsed="false">
      <c r="A262" s="19" t="s">
        <v>59</v>
      </c>
      <c r="B262" s="19" t="s">
        <v>367</v>
      </c>
      <c r="C262" s="19" t="s">
        <v>344</v>
      </c>
      <c r="D262" s="19" t="s">
        <v>345</v>
      </c>
      <c r="E262" s="19"/>
      <c r="F262" s="19" t="n">
        <v>0</v>
      </c>
      <c r="G262" s="19"/>
      <c r="H262" s="19"/>
    </row>
    <row r="263" customFormat="false" ht="15" hidden="false" customHeight="true" outlineLevel="0" collapsed="false">
      <c r="A263" s="19" t="s">
        <v>59</v>
      </c>
      <c r="B263" s="19" t="s">
        <v>368</v>
      </c>
      <c r="C263" s="19" t="s">
        <v>344</v>
      </c>
      <c r="D263" s="19" t="s">
        <v>345</v>
      </c>
      <c r="E263" s="19"/>
      <c r="F263" s="19" t="n">
        <v>0</v>
      </c>
      <c r="G263" s="19"/>
      <c r="H263" s="19"/>
    </row>
    <row r="264" customFormat="false" ht="15" hidden="false" customHeight="true" outlineLevel="0" collapsed="false">
      <c r="A264" s="19" t="s">
        <v>59</v>
      </c>
      <c r="B264" s="19" t="s">
        <v>155</v>
      </c>
      <c r="C264" s="19" t="s">
        <v>344</v>
      </c>
      <c r="D264" s="19" t="s">
        <v>345</v>
      </c>
      <c r="E264" s="19"/>
      <c r="F264" s="19" t="n">
        <v>0</v>
      </c>
      <c r="G264" s="19"/>
      <c r="H264" s="19"/>
    </row>
    <row r="265" customFormat="false" ht="15" hidden="false" customHeight="true" outlineLevel="0" collapsed="false">
      <c r="A265" s="19" t="s">
        <v>59</v>
      </c>
      <c r="B265" s="19" t="s">
        <v>451</v>
      </c>
      <c r="C265" s="19" t="s">
        <v>344</v>
      </c>
      <c r="D265" s="19" t="s">
        <v>345</v>
      </c>
      <c r="E265" s="19"/>
      <c r="F265" s="19" t="n">
        <v>0</v>
      </c>
      <c r="G265" s="19"/>
      <c r="H265" s="19"/>
    </row>
    <row r="266" customFormat="false" ht="15" hidden="false" customHeight="true" outlineLevel="0" collapsed="false">
      <c r="A266" s="19" t="s">
        <v>59</v>
      </c>
      <c r="B266" s="19" t="s">
        <v>452</v>
      </c>
      <c r="C266" s="19" t="s">
        <v>344</v>
      </c>
      <c r="D266" s="19" t="s">
        <v>345</v>
      </c>
      <c r="E266" s="19"/>
      <c r="F266" s="19" t="n">
        <v>0</v>
      </c>
      <c r="G266" s="19"/>
      <c r="H266" s="19"/>
    </row>
    <row r="267" customFormat="false" ht="15" hidden="false" customHeight="true" outlineLevel="0" collapsed="false">
      <c r="A267" s="19" t="s">
        <v>59</v>
      </c>
      <c r="B267" s="19" t="s">
        <v>453</v>
      </c>
      <c r="C267" s="19" t="s">
        <v>344</v>
      </c>
      <c r="D267" s="19" t="s">
        <v>345</v>
      </c>
      <c r="E267" s="19"/>
      <c r="F267" s="19" t="n">
        <v>0</v>
      </c>
      <c r="G267" s="19"/>
      <c r="H267" s="19"/>
    </row>
    <row r="268" customFormat="false" ht="15" hidden="false" customHeight="true" outlineLevel="0" collapsed="false">
      <c r="A268" s="19" t="s">
        <v>59</v>
      </c>
      <c r="B268" s="19" t="s">
        <v>454</v>
      </c>
      <c r="C268" s="19" t="s">
        <v>344</v>
      </c>
      <c r="D268" s="19" t="s">
        <v>345</v>
      </c>
      <c r="E268" s="19"/>
      <c r="F268" s="19" t="n">
        <v>0</v>
      </c>
      <c r="G268" s="19"/>
      <c r="H268" s="19"/>
    </row>
    <row r="269" customFormat="false" ht="15" hidden="false" customHeight="true" outlineLevel="0" collapsed="false">
      <c r="A269" s="19" t="s">
        <v>59</v>
      </c>
      <c r="B269" s="19" t="s">
        <v>157</v>
      </c>
      <c r="C269" s="19" t="s">
        <v>344</v>
      </c>
      <c r="D269" s="19" t="s">
        <v>345</v>
      </c>
      <c r="E269" s="19"/>
      <c r="F269" s="19" t="n">
        <v>0</v>
      </c>
      <c r="G269" s="19"/>
      <c r="H269" s="19"/>
    </row>
    <row r="270" customFormat="false" ht="15" hidden="false" customHeight="true" outlineLevel="0" collapsed="false">
      <c r="A270" s="19" t="s">
        <v>59</v>
      </c>
      <c r="B270" s="19" t="s">
        <v>369</v>
      </c>
      <c r="C270" s="19" t="s">
        <v>344</v>
      </c>
      <c r="D270" s="19" t="s">
        <v>345</v>
      </c>
      <c r="E270" s="19"/>
      <c r="F270" s="19" t="n">
        <v>0</v>
      </c>
      <c r="G270" s="19"/>
      <c r="H270" s="19"/>
    </row>
    <row r="271" customFormat="false" ht="15" hidden="false" customHeight="true" outlineLevel="0" collapsed="false">
      <c r="A271" s="19" t="s">
        <v>59</v>
      </c>
      <c r="B271" s="19" t="s">
        <v>415</v>
      </c>
      <c r="C271" s="19" t="s">
        <v>344</v>
      </c>
      <c r="D271" s="19" t="s">
        <v>345</v>
      </c>
      <c r="E271" s="19"/>
      <c r="F271" s="19" t="n">
        <v>0</v>
      </c>
      <c r="G271" s="19"/>
      <c r="H271" s="19"/>
    </row>
    <row r="272" customFormat="false" ht="15" hidden="false" customHeight="true" outlineLevel="0" collapsed="false">
      <c r="A272" s="19" t="s">
        <v>59</v>
      </c>
      <c r="B272" s="19" t="s">
        <v>370</v>
      </c>
      <c r="C272" s="19" t="s">
        <v>344</v>
      </c>
      <c r="D272" s="19" t="s">
        <v>345</v>
      </c>
      <c r="E272" s="19"/>
      <c r="F272" s="19" t="n">
        <v>0</v>
      </c>
      <c r="G272" s="19"/>
      <c r="H272" s="19"/>
    </row>
    <row r="273" customFormat="false" ht="15" hidden="false" customHeight="true" outlineLevel="0" collapsed="false">
      <c r="A273" s="19" t="s">
        <v>59</v>
      </c>
      <c r="B273" s="19" t="s">
        <v>416</v>
      </c>
      <c r="C273" s="19" t="s">
        <v>344</v>
      </c>
      <c r="D273" s="19" t="s">
        <v>345</v>
      </c>
      <c r="E273" s="19"/>
      <c r="F273" s="19" t="n">
        <v>0</v>
      </c>
      <c r="G273" s="19"/>
      <c r="H273" s="19"/>
    </row>
    <row r="274" customFormat="false" ht="15" hidden="false" customHeight="true" outlineLevel="0" collapsed="false">
      <c r="A274" s="19" t="s">
        <v>59</v>
      </c>
      <c r="B274" s="19" t="s">
        <v>455</v>
      </c>
      <c r="C274" s="19" t="s">
        <v>344</v>
      </c>
      <c r="D274" s="19" t="s">
        <v>345</v>
      </c>
      <c r="E274" s="19"/>
      <c r="F274" s="19" t="n">
        <v>0</v>
      </c>
      <c r="G274" s="19"/>
      <c r="H274" s="19"/>
    </row>
    <row r="275" customFormat="false" ht="15" hidden="false" customHeight="true" outlineLevel="0" collapsed="false">
      <c r="A275" s="19" t="s">
        <v>59</v>
      </c>
      <c r="B275" s="19" t="s">
        <v>127</v>
      </c>
      <c r="C275" s="19" t="s">
        <v>344</v>
      </c>
      <c r="D275" s="19" t="s">
        <v>345</v>
      </c>
      <c r="E275" s="19"/>
      <c r="F275" s="19" t="n">
        <v>0</v>
      </c>
      <c r="G275" s="19"/>
      <c r="H275" s="19"/>
    </row>
    <row r="276" customFormat="false" ht="15" hidden="false" customHeight="true" outlineLevel="0" collapsed="false">
      <c r="A276" s="19" t="s">
        <v>59</v>
      </c>
      <c r="B276" s="19" t="s">
        <v>417</v>
      </c>
      <c r="C276" s="19" t="s">
        <v>344</v>
      </c>
      <c r="D276" s="19" t="s">
        <v>345</v>
      </c>
      <c r="E276" s="19"/>
      <c r="F276" s="19" t="n">
        <v>0</v>
      </c>
      <c r="G276" s="19"/>
      <c r="H276" s="19"/>
    </row>
    <row r="277" customFormat="false" ht="15" hidden="false" customHeight="true" outlineLevel="0" collapsed="false">
      <c r="A277" s="19" t="s">
        <v>59</v>
      </c>
      <c r="B277" s="19" t="s">
        <v>371</v>
      </c>
      <c r="C277" s="19" t="s">
        <v>344</v>
      </c>
      <c r="D277" s="19" t="s">
        <v>345</v>
      </c>
      <c r="E277" s="19"/>
      <c r="F277" s="19" t="n">
        <v>0</v>
      </c>
      <c r="G277" s="19"/>
      <c r="H277" s="19"/>
    </row>
    <row r="278" customFormat="false" ht="15" hidden="false" customHeight="true" outlineLevel="0" collapsed="false">
      <c r="A278" s="19" t="s">
        <v>59</v>
      </c>
      <c r="B278" s="19" t="s">
        <v>159</v>
      </c>
      <c r="C278" s="19" t="s">
        <v>344</v>
      </c>
      <c r="D278" s="19" t="s">
        <v>345</v>
      </c>
      <c r="E278" s="19"/>
      <c r="F278" s="19" t="n">
        <v>0</v>
      </c>
      <c r="G278" s="19"/>
      <c r="H278" s="19"/>
    </row>
    <row r="279" customFormat="false" ht="15" hidden="false" customHeight="true" outlineLevel="0" collapsed="false">
      <c r="A279" s="19" t="s">
        <v>59</v>
      </c>
      <c r="B279" s="19" t="s">
        <v>456</v>
      </c>
      <c r="C279" s="19" t="s">
        <v>344</v>
      </c>
      <c r="D279" s="19" t="s">
        <v>345</v>
      </c>
      <c r="E279" s="19"/>
      <c r="F279" s="19" t="n">
        <v>0</v>
      </c>
      <c r="G279" s="19"/>
      <c r="H279" s="19"/>
    </row>
    <row r="280" customFormat="false" ht="15" hidden="false" customHeight="true" outlineLevel="0" collapsed="false">
      <c r="A280" s="19" t="s">
        <v>59</v>
      </c>
      <c r="B280" s="19" t="s">
        <v>457</v>
      </c>
      <c r="C280" s="19" t="s">
        <v>344</v>
      </c>
      <c r="D280" s="19" t="s">
        <v>345</v>
      </c>
      <c r="E280" s="19"/>
      <c r="F280" s="19" t="n">
        <v>0</v>
      </c>
      <c r="G280" s="19"/>
      <c r="H280" s="19"/>
    </row>
    <row r="281" customFormat="false" ht="15" hidden="false" customHeight="true" outlineLevel="0" collapsed="false">
      <c r="A281" s="19" t="s">
        <v>59</v>
      </c>
      <c r="B281" s="19" t="s">
        <v>129</v>
      </c>
      <c r="C281" s="19" t="s">
        <v>344</v>
      </c>
      <c r="D281" s="19" t="s">
        <v>345</v>
      </c>
      <c r="E281" s="19"/>
      <c r="F281" s="19" t="n">
        <v>0</v>
      </c>
      <c r="G281" s="19"/>
      <c r="H281" s="19"/>
    </row>
    <row r="282" customFormat="false" ht="15" hidden="false" customHeight="true" outlineLevel="0" collapsed="false">
      <c r="A282" s="19" t="s">
        <v>59</v>
      </c>
      <c r="B282" s="19" t="s">
        <v>458</v>
      </c>
      <c r="C282" s="19" t="s">
        <v>344</v>
      </c>
      <c r="D282" s="19" t="s">
        <v>345</v>
      </c>
      <c r="E282" s="19"/>
      <c r="F282" s="19" t="n">
        <v>0</v>
      </c>
      <c r="G282" s="19"/>
      <c r="H282" s="19"/>
    </row>
    <row r="283" customFormat="false" ht="15" hidden="false" customHeight="true" outlineLevel="0" collapsed="false">
      <c r="A283" s="19" t="s">
        <v>59</v>
      </c>
      <c r="B283" s="19" t="s">
        <v>131</v>
      </c>
      <c r="C283" s="19" t="s">
        <v>344</v>
      </c>
      <c r="D283" s="19" t="s">
        <v>345</v>
      </c>
      <c r="E283" s="19"/>
      <c r="F283" s="19" t="n">
        <v>0</v>
      </c>
      <c r="G283" s="19"/>
      <c r="H283" s="19"/>
    </row>
    <row r="284" customFormat="false" ht="15" hidden="false" customHeight="true" outlineLevel="0" collapsed="false">
      <c r="A284" s="19" t="s">
        <v>59</v>
      </c>
      <c r="B284" s="19" t="s">
        <v>459</v>
      </c>
      <c r="C284" s="19" t="s">
        <v>344</v>
      </c>
      <c r="D284" s="19" t="s">
        <v>345</v>
      </c>
      <c r="E284" s="19"/>
      <c r="F284" s="19" t="n">
        <v>0</v>
      </c>
      <c r="G284" s="19"/>
      <c r="H284" s="19"/>
    </row>
    <row r="285" customFormat="false" ht="15" hidden="false" customHeight="true" outlineLevel="0" collapsed="false">
      <c r="A285" s="19" t="s">
        <v>59</v>
      </c>
      <c r="B285" s="19" t="s">
        <v>460</v>
      </c>
      <c r="C285" s="19" t="s">
        <v>344</v>
      </c>
      <c r="D285" s="19" t="s">
        <v>345</v>
      </c>
      <c r="E285" s="19"/>
      <c r="F285" s="19" t="n">
        <v>0</v>
      </c>
      <c r="G285" s="19"/>
      <c r="H285" s="19"/>
    </row>
    <row r="286" customFormat="false" ht="15" hidden="false" customHeight="true" outlineLevel="0" collapsed="false">
      <c r="A286" s="19" t="s">
        <v>59</v>
      </c>
      <c r="B286" s="19" t="s">
        <v>161</v>
      </c>
      <c r="C286" s="19" t="s">
        <v>344</v>
      </c>
      <c r="D286" s="19" t="s">
        <v>345</v>
      </c>
      <c r="E286" s="19"/>
      <c r="F286" s="19" t="n">
        <v>0</v>
      </c>
      <c r="G286" s="19"/>
      <c r="H286" s="19"/>
    </row>
    <row r="287" customFormat="false" ht="15" hidden="false" customHeight="true" outlineLevel="0" collapsed="false">
      <c r="A287" s="17" t="s">
        <v>59</v>
      </c>
      <c r="B287" s="17" t="s">
        <v>170</v>
      </c>
      <c r="C287" s="17" t="s">
        <v>344</v>
      </c>
      <c r="D287" s="17" t="s">
        <v>345</v>
      </c>
      <c r="E287" s="17"/>
      <c r="F287" s="17" t="n">
        <v>1</v>
      </c>
      <c r="G287" s="17" t="s">
        <v>1367</v>
      </c>
      <c r="H287" s="17" t="s">
        <v>1283</v>
      </c>
    </row>
    <row r="288" customFormat="false" ht="15" hidden="false" customHeight="true" outlineLevel="0" collapsed="false">
      <c r="A288" s="19" t="s">
        <v>59</v>
      </c>
      <c r="B288" s="19" t="s">
        <v>461</v>
      </c>
      <c r="C288" s="19" t="s">
        <v>344</v>
      </c>
      <c r="D288" s="19" t="s">
        <v>345</v>
      </c>
      <c r="E288" s="19"/>
      <c r="F288" s="19" t="n">
        <v>0</v>
      </c>
      <c r="G288" s="19"/>
      <c r="H288" s="19"/>
    </row>
    <row r="289" customFormat="false" ht="15" hidden="false" customHeight="true" outlineLevel="0" collapsed="false">
      <c r="A289" s="19" t="s">
        <v>59</v>
      </c>
      <c r="B289" s="19" t="s">
        <v>372</v>
      </c>
      <c r="C289" s="19" t="s">
        <v>344</v>
      </c>
      <c r="D289" s="19" t="s">
        <v>345</v>
      </c>
      <c r="E289" s="19"/>
      <c r="F289" s="19" t="n">
        <v>0</v>
      </c>
      <c r="G289" s="19"/>
      <c r="H289" s="19"/>
    </row>
    <row r="290" customFormat="false" ht="15" hidden="false" customHeight="true" outlineLevel="0" collapsed="false">
      <c r="A290" s="19" t="s">
        <v>59</v>
      </c>
      <c r="B290" s="19" t="s">
        <v>462</v>
      </c>
      <c r="C290" s="19" t="s">
        <v>344</v>
      </c>
      <c r="D290" s="19" t="s">
        <v>345</v>
      </c>
      <c r="E290" s="19"/>
      <c r="F290" s="19" t="n">
        <v>0</v>
      </c>
      <c r="G290" s="19"/>
      <c r="H290" s="19"/>
    </row>
    <row r="291" customFormat="false" ht="15" hidden="false" customHeight="true" outlineLevel="0" collapsed="false">
      <c r="A291" s="19" t="s">
        <v>59</v>
      </c>
      <c r="B291" s="19" t="s">
        <v>196</v>
      </c>
      <c r="C291" s="19" t="s">
        <v>325</v>
      </c>
      <c r="D291" s="19" t="s">
        <v>538</v>
      </c>
      <c r="E291" s="19" t="s">
        <v>1368</v>
      </c>
      <c r="F291" s="19" t="n">
        <v>0</v>
      </c>
      <c r="G291" s="19"/>
      <c r="H291" s="19"/>
    </row>
    <row r="292" customFormat="false" ht="15" hidden="false" customHeight="true" outlineLevel="0" collapsed="false">
      <c r="A292" s="19" t="s">
        <v>59</v>
      </c>
      <c r="B292" s="19" t="s">
        <v>464</v>
      </c>
      <c r="C292" s="19" t="s">
        <v>344</v>
      </c>
      <c r="D292" s="19" t="s">
        <v>345</v>
      </c>
      <c r="E292" s="19"/>
      <c r="F292" s="19" t="n">
        <v>0</v>
      </c>
      <c r="G292" s="19"/>
      <c r="H292" s="19"/>
    </row>
    <row r="293" customFormat="false" ht="15" hidden="false" customHeight="true" outlineLevel="0" collapsed="false">
      <c r="A293" s="19" t="s">
        <v>59</v>
      </c>
      <c r="B293" s="19" t="s">
        <v>277</v>
      </c>
      <c r="C293" s="19" t="s">
        <v>330</v>
      </c>
      <c r="D293" s="19" t="s">
        <v>331</v>
      </c>
      <c r="E293" s="19"/>
      <c r="F293" s="19" t="n">
        <v>0</v>
      </c>
      <c r="G293" s="19"/>
      <c r="H293" s="19"/>
    </row>
    <row r="294" customFormat="false" ht="15" hidden="false" customHeight="true" outlineLevel="0" collapsed="false">
      <c r="A294" s="19" t="s">
        <v>59</v>
      </c>
      <c r="B294" s="19" t="s">
        <v>279</v>
      </c>
      <c r="C294" s="19" t="s">
        <v>344</v>
      </c>
      <c r="D294" s="19" t="s">
        <v>345</v>
      </c>
      <c r="E294" s="19"/>
      <c r="F294" s="19" t="n">
        <v>0</v>
      </c>
      <c r="G294" s="19"/>
      <c r="H294" s="19"/>
    </row>
    <row r="295" customFormat="false" ht="15" hidden="false" customHeight="true" outlineLevel="0" collapsed="false">
      <c r="A295" s="19" t="s">
        <v>59</v>
      </c>
      <c r="B295" s="19" t="s">
        <v>419</v>
      </c>
      <c r="C295" s="19" t="s">
        <v>344</v>
      </c>
      <c r="D295" s="19" t="s">
        <v>345</v>
      </c>
      <c r="E295" s="19"/>
      <c r="F295" s="19" t="n">
        <v>0</v>
      </c>
      <c r="G295" s="19"/>
      <c r="H295" s="19"/>
    </row>
    <row r="296" customFormat="false" ht="15" hidden="false" customHeight="true" outlineLevel="0" collapsed="false">
      <c r="A296" s="19" t="s">
        <v>59</v>
      </c>
      <c r="B296" s="19" t="s">
        <v>465</v>
      </c>
      <c r="C296" s="19" t="s">
        <v>344</v>
      </c>
      <c r="D296" s="19" t="s">
        <v>345</v>
      </c>
      <c r="E296" s="19"/>
      <c r="F296" s="19" t="n">
        <v>0</v>
      </c>
      <c r="G296" s="19"/>
      <c r="H296" s="19"/>
    </row>
    <row r="297" customFormat="false" ht="15" hidden="false" customHeight="true" outlineLevel="0" collapsed="false">
      <c r="A297" s="19" t="s">
        <v>59</v>
      </c>
      <c r="B297" s="19" t="s">
        <v>373</v>
      </c>
      <c r="C297" s="19" t="s">
        <v>344</v>
      </c>
      <c r="D297" s="19" t="s">
        <v>345</v>
      </c>
      <c r="E297" s="19"/>
      <c r="F297" s="19" t="n">
        <v>0</v>
      </c>
      <c r="G297" s="19"/>
      <c r="H297" s="19"/>
    </row>
    <row r="298" customFormat="false" ht="15" hidden="false" customHeight="true" outlineLevel="0" collapsed="false">
      <c r="A298" s="19" t="s">
        <v>59</v>
      </c>
      <c r="B298" s="19" t="s">
        <v>466</v>
      </c>
      <c r="C298" s="19" t="s">
        <v>344</v>
      </c>
      <c r="D298" s="19" t="s">
        <v>345</v>
      </c>
      <c r="E298" s="19"/>
      <c r="F298" s="19" t="n">
        <v>0</v>
      </c>
      <c r="G298" s="19"/>
      <c r="H298" s="19"/>
    </row>
    <row r="299" customFormat="false" ht="15" hidden="false" customHeight="true" outlineLevel="0" collapsed="false">
      <c r="A299" s="19" t="s">
        <v>59</v>
      </c>
      <c r="B299" s="19" t="s">
        <v>133</v>
      </c>
      <c r="C299" s="19" t="s">
        <v>344</v>
      </c>
      <c r="D299" s="19" t="s">
        <v>345</v>
      </c>
      <c r="E299" s="19"/>
      <c r="F299" s="19" t="n">
        <v>0</v>
      </c>
      <c r="G299" s="19"/>
      <c r="H299" s="19"/>
    </row>
    <row r="300" customFormat="false" ht="15" hidden="false" customHeight="true" outlineLevel="0" collapsed="false">
      <c r="A300" s="19" t="s">
        <v>59</v>
      </c>
      <c r="B300" s="19" t="s">
        <v>467</v>
      </c>
      <c r="C300" s="19" t="s">
        <v>344</v>
      </c>
      <c r="D300" s="19" t="s">
        <v>345</v>
      </c>
      <c r="E300" s="19"/>
      <c r="F300" s="19" t="n">
        <v>0</v>
      </c>
      <c r="G300" s="19"/>
      <c r="H300" s="19"/>
    </row>
    <row r="301" customFormat="false" ht="15" hidden="false" customHeight="true" outlineLevel="0" collapsed="false">
      <c r="A301" s="19" t="s">
        <v>59</v>
      </c>
      <c r="B301" s="19" t="s">
        <v>420</v>
      </c>
      <c r="C301" s="19" t="s">
        <v>344</v>
      </c>
      <c r="D301" s="19" t="s">
        <v>345</v>
      </c>
      <c r="E301" s="19"/>
      <c r="F301" s="19" t="n">
        <v>0</v>
      </c>
      <c r="G301" s="19"/>
      <c r="H301" s="19"/>
    </row>
    <row r="302" customFormat="false" ht="15" hidden="false" customHeight="true" outlineLevel="0" collapsed="false">
      <c r="A302" s="17" t="s">
        <v>59</v>
      </c>
      <c r="B302" s="17" t="s">
        <v>173</v>
      </c>
      <c r="C302" s="17" t="s">
        <v>344</v>
      </c>
      <c r="D302" s="17" t="s">
        <v>345</v>
      </c>
      <c r="E302" s="17"/>
      <c r="F302" s="17" t="n">
        <v>1</v>
      </c>
      <c r="G302" s="17" t="s">
        <v>1369</v>
      </c>
      <c r="H302" s="17" t="s">
        <v>1283</v>
      </c>
    </row>
    <row r="303" customFormat="false" ht="15" hidden="false" customHeight="true" outlineLevel="0" collapsed="false">
      <c r="A303" s="19" t="s">
        <v>59</v>
      </c>
      <c r="B303" s="19" t="s">
        <v>468</v>
      </c>
      <c r="C303" s="19" t="s">
        <v>344</v>
      </c>
      <c r="D303" s="19" t="s">
        <v>345</v>
      </c>
      <c r="E303" s="19"/>
      <c r="F303" s="19" t="n">
        <v>0</v>
      </c>
      <c r="G303" s="19"/>
      <c r="H303" s="19"/>
    </row>
    <row r="304" customFormat="false" ht="15" hidden="false" customHeight="true" outlineLevel="0" collapsed="false">
      <c r="A304" s="19" t="s">
        <v>59</v>
      </c>
      <c r="B304" s="19" t="s">
        <v>469</v>
      </c>
      <c r="C304" s="19" t="s">
        <v>344</v>
      </c>
      <c r="D304" s="19" t="s">
        <v>345</v>
      </c>
      <c r="E304" s="19"/>
      <c r="F304" s="19" t="n">
        <v>0</v>
      </c>
      <c r="G304" s="19"/>
      <c r="H304" s="19"/>
    </row>
    <row r="305" customFormat="false" ht="15" hidden="false" customHeight="true" outlineLevel="0" collapsed="false">
      <c r="A305" s="19" t="s">
        <v>59</v>
      </c>
      <c r="B305" s="19" t="s">
        <v>470</v>
      </c>
      <c r="C305" s="19" t="s">
        <v>344</v>
      </c>
      <c r="D305" s="19" t="s">
        <v>345</v>
      </c>
      <c r="E305" s="19"/>
      <c r="F305" s="19" t="n">
        <v>0</v>
      </c>
      <c r="G305" s="19"/>
      <c r="H305" s="19"/>
    </row>
    <row r="306" customFormat="false" ht="15" hidden="false" customHeight="true" outlineLevel="0" collapsed="false">
      <c r="A306" s="19" t="s">
        <v>59</v>
      </c>
      <c r="B306" s="19" t="s">
        <v>471</v>
      </c>
      <c r="C306" s="19" t="s">
        <v>344</v>
      </c>
      <c r="D306" s="19" t="s">
        <v>345</v>
      </c>
      <c r="E306" s="19"/>
      <c r="F306" s="19" t="n">
        <v>0</v>
      </c>
      <c r="G306" s="19"/>
      <c r="H306" s="19"/>
    </row>
    <row r="307" customFormat="false" ht="15" hidden="false" customHeight="true" outlineLevel="0" collapsed="false">
      <c r="A307" s="19" t="s">
        <v>59</v>
      </c>
      <c r="B307" s="19" t="s">
        <v>472</v>
      </c>
      <c r="C307" s="19" t="s">
        <v>344</v>
      </c>
      <c r="D307" s="19" t="s">
        <v>345</v>
      </c>
      <c r="E307" s="19"/>
      <c r="F307" s="19" t="n">
        <v>0</v>
      </c>
      <c r="G307" s="19"/>
      <c r="H307" s="19"/>
    </row>
    <row r="308" customFormat="false" ht="15" hidden="false" customHeight="true" outlineLevel="0" collapsed="false">
      <c r="A308" s="19" t="s">
        <v>59</v>
      </c>
      <c r="B308" s="19" t="s">
        <v>473</v>
      </c>
      <c r="C308" s="19" t="s">
        <v>344</v>
      </c>
      <c r="D308" s="19" t="s">
        <v>345</v>
      </c>
      <c r="E308" s="19"/>
      <c r="F308" s="19" t="n">
        <v>0</v>
      </c>
      <c r="G308" s="19"/>
      <c r="H308" s="19"/>
    </row>
    <row r="309" customFormat="false" ht="15" hidden="false" customHeight="true" outlineLevel="0" collapsed="false">
      <c r="A309" s="19" t="s">
        <v>59</v>
      </c>
      <c r="B309" s="19" t="s">
        <v>474</v>
      </c>
      <c r="C309" s="19" t="s">
        <v>344</v>
      </c>
      <c r="D309" s="19" t="s">
        <v>345</v>
      </c>
      <c r="E309" s="19"/>
      <c r="F309" s="19" t="n">
        <v>0</v>
      </c>
      <c r="G309" s="19"/>
      <c r="H309" s="19"/>
    </row>
    <row r="310" customFormat="false" ht="15" hidden="false" customHeight="true" outlineLevel="0" collapsed="false">
      <c r="A310" s="19" t="s">
        <v>59</v>
      </c>
      <c r="B310" s="19" t="s">
        <v>475</v>
      </c>
      <c r="C310" s="19" t="s">
        <v>344</v>
      </c>
      <c r="D310" s="19" t="s">
        <v>345</v>
      </c>
      <c r="E310" s="19"/>
      <c r="F310" s="19" t="n">
        <v>0</v>
      </c>
      <c r="G310" s="19"/>
      <c r="H310" s="19"/>
    </row>
    <row r="311" customFormat="false" ht="15" hidden="false" customHeight="true" outlineLevel="0" collapsed="false">
      <c r="A311" s="19" t="s">
        <v>59</v>
      </c>
      <c r="B311" s="19" t="s">
        <v>476</v>
      </c>
      <c r="C311" s="19" t="s">
        <v>344</v>
      </c>
      <c r="D311" s="19" t="s">
        <v>345</v>
      </c>
      <c r="E311" s="19"/>
      <c r="F311" s="19" t="n">
        <v>0</v>
      </c>
      <c r="G311" s="19"/>
      <c r="H311" s="19"/>
    </row>
    <row r="312" customFormat="false" ht="15" hidden="false" customHeight="true" outlineLevel="0" collapsed="false">
      <c r="A312" s="19" t="s">
        <v>59</v>
      </c>
      <c r="B312" s="19" t="s">
        <v>477</v>
      </c>
      <c r="C312" s="19" t="s">
        <v>344</v>
      </c>
      <c r="D312" s="19" t="s">
        <v>345</v>
      </c>
      <c r="E312" s="19"/>
      <c r="F312" s="19" t="n">
        <v>0</v>
      </c>
      <c r="G312" s="19"/>
      <c r="H312" s="19"/>
    </row>
    <row r="313" customFormat="false" ht="15" hidden="false" customHeight="true" outlineLevel="0" collapsed="false">
      <c r="A313" s="19" t="s">
        <v>59</v>
      </c>
      <c r="B313" s="19" t="s">
        <v>478</v>
      </c>
      <c r="C313" s="19" t="s">
        <v>344</v>
      </c>
      <c r="D313" s="19" t="s">
        <v>345</v>
      </c>
      <c r="E313" s="19"/>
      <c r="F313" s="19" t="n">
        <v>0</v>
      </c>
      <c r="G313" s="19"/>
      <c r="H313" s="19"/>
    </row>
    <row r="314" customFormat="false" ht="15" hidden="false" customHeight="true" outlineLevel="0" collapsed="false">
      <c r="A314" s="19" t="s">
        <v>59</v>
      </c>
      <c r="B314" s="19" t="s">
        <v>479</v>
      </c>
      <c r="C314" s="19" t="s">
        <v>344</v>
      </c>
      <c r="D314" s="19" t="s">
        <v>345</v>
      </c>
      <c r="E314" s="19"/>
      <c r="F314" s="19" t="n">
        <v>0</v>
      </c>
      <c r="G314" s="19"/>
      <c r="H314" s="19"/>
    </row>
    <row r="315" customFormat="false" ht="15" hidden="false" customHeight="true" outlineLevel="0" collapsed="false">
      <c r="A315" s="19" t="s">
        <v>59</v>
      </c>
      <c r="B315" s="19" t="s">
        <v>480</v>
      </c>
      <c r="C315" s="19" t="s">
        <v>344</v>
      </c>
      <c r="D315" s="19" t="s">
        <v>345</v>
      </c>
      <c r="E315" s="19"/>
      <c r="F315" s="19" t="n">
        <v>0</v>
      </c>
      <c r="G315" s="19"/>
      <c r="H315" s="19"/>
    </row>
    <row r="316" customFormat="false" ht="15" hidden="false" customHeight="true" outlineLevel="0" collapsed="false">
      <c r="A316" s="19" t="s">
        <v>59</v>
      </c>
      <c r="B316" s="19" t="s">
        <v>481</v>
      </c>
      <c r="C316" s="19" t="s">
        <v>344</v>
      </c>
      <c r="D316" s="19" t="s">
        <v>345</v>
      </c>
      <c r="E316" s="19"/>
      <c r="F316" s="19" t="n">
        <v>0</v>
      </c>
      <c r="G316" s="19"/>
      <c r="H316" s="19"/>
    </row>
    <row r="317" customFormat="false" ht="15" hidden="false" customHeight="true" outlineLevel="0" collapsed="false">
      <c r="A317" s="19" t="s">
        <v>59</v>
      </c>
      <c r="B317" s="19" t="s">
        <v>482</v>
      </c>
      <c r="C317" s="19" t="s">
        <v>344</v>
      </c>
      <c r="D317" s="19" t="s">
        <v>345</v>
      </c>
      <c r="E317" s="19"/>
      <c r="F317" s="19" t="n">
        <v>0</v>
      </c>
      <c r="G317" s="19"/>
      <c r="H317" s="19"/>
    </row>
    <row r="318" customFormat="false" ht="15" hidden="false" customHeight="true" outlineLevel="0" collapsed="false">
      <c r="A318" s="17" t="s">
        <v>59</v>
      </c>
      <c r="B318" s="17" t="s">
        <v>175</v>
      </c>
      <c r="C318" s="17" t="s">
        <v>344</v>
      </c>
      <c r="D318" s="17" t="s">
        <v>345</v>
      </c>
      <c r="E318" s="17"/>
      <c r="F318" s="17" t="n">
        <v>1</v>
      </c>
      <c r="G318" s="17" t="s">
        <v>1370</v>
      </c>
      <c r="H318" s="17" t="s">
        <v>1283</v>
      </c>
    </row>
    <row r="319" customFormat="false" ht="15" hidden="false" customHeight="true" outlineLevel="0" collapsed="false">
      <c r="A319" s="19" t="s">
        <v>59</v>
      </c>
      <c r="B319" s="19" t="s">
        <v>483</v>
      </c>
      <c r="C319" s="19" t="s">
        <v>344</v>
      </c>
      <c r="D319" s="19" t="s">
        <v>345</v>
      </c>
      <c r="E319" s="19"/>
      <c r="F319" s="19" t="n">
        <v>0</v>
      </c>
      <c r="G319" s="19"/>
      <c r="H319" s="19"/>
    </row>
    <row r="320" customFormat="false" ht="15" hidden="false" customHeight="true" outlineLevel="0" collapsed="false">
      <c r="A320" s="19" t="s">
        <v>59</v>
      </c>
      <c r="B320" s="19" t="s">
        <v>484</v>
      </c>
      <c r="C320" s="19" t="s">
        <v>344</v>
      </c>
      <c r="D320" s="19" t="s">
        <v>345</v>
      </c>
      <c r="E320" s="19"/>
      <c r="F320" s="19" t="n">
        <v>0</v>
      </c>
      <c r="G320" s="19"/>
      <c r="H320" s="19"/>
    </row>
    <row r="321" customFormat="false" ht="15" hidden="false" customHeight="true" outlineLevel="0" collapsed="false">
      <c r="A321" s="19" t="s">
        <v>59</v>
      </c>
      <c r="B321" s="19" t="s">
        <v>485</v>
      </c>
      <c r="C321" s="19" t="s">
        <v>330</v>
      </c>
      <c r="D321" s="19" t="s">
        <v>331</v>
      </c>
      <c r="E321" s="19"/>
      <c r="F321" s="19" t="n">
        <v>0</v>
      </c>
      <c r="G321" s="19"/>
      <c r="H321" s="19"/>
    </row>
    <row r="322" customFormat="false" ht="15" hidden="false" customHeight="true" outlineLevel="0" collapsed="false">
      <c r="A322" s="19" t="s">
        <v>59</v>
      </c>
      <c r="B322" s="19" t="s">
        <v>486</v>
      </c>
      <c r="C322" s="19" t="s">
        <v>344</v>
      </c>
      <c r="D322" s="19" t="s">
        <v>345</v>
      </c>
      <c r="E322" s="19"/>
      <c r="F322" s="19" t="n">
        <v>0</v>
      </c>
      <c r="G322" s="19"/>
      <c r="H322" s="19"/>
    </row>
    <row r="323" customFormat="false" ht="15" hidden="false" customHeight="true" outlineLevel="0" collapsed="false">
      <c r="A323" s="17" t="s">
        <v>59</v>
      </c>
      <c r="B323" s="17" t="s">
        <v>177</v>
      </c>
      <c r="C323" s="17" t="s">
        <v>344</v>
      </c>
      <c r="D323" s="17" t="s">
        <v>345</v>
      </c>
      <c r="E323" s="17"/>
      <c r="F323" s="17" t="n">
        <v>1</v>
      </c>
      <c r="G323" s="17" t="s">
        <v>1371</v>
      </c>
      <c r="H323" s="17" t="s">
        <v>1283</v>
      </c>
    </row>
    <row r="324" customFormat="false" ht="15" hidden="false" customHeight="true" outlineLevel="0" collapsed="false">
      <c r="A324" s="19" t="s">
        <v>59</v>
      </c>
      <c r="B324" s="19" t="s">
        <v>487</v>
      </c>
      <c r="C324" s="19" t="s">
        <v>330</v>
      </c>
      <c r="D324" s="19" t="s">
        <v>331</v>
      </c>
      <c r="E324" s="19"/>
      <c r="F324" s="19" t="n">
        <v>0</v>
      </c>
      <c r="G324" s="19"/>
      <c r="H324" s="19"/>
    </row>
    <row r="325" customFormat="false" ht="15" hidden="false" customHeight="true" outlineLevel="0" collapsed="false">
      <c r="A325" s="19" t="s">
        <v>59</v>
      </c>
      <c r="B325" s="19" t="s">
        <v>488</v>
      </c>
      <c r="C325" s="19" t="s">
        <v>344</v>
      </c>
      <c r="D325" s="19" t="s">
        <v>345</v>
      </c>
      <c r="E325" s="19"/>
      <c r="F325" s="19" t="n">
        <v>0</v>
      </c>
      <c r="G325" s="19"/>
      <c r="H325" s="19"/>
    </row>
    <row r="326" customFormat="false" ht="15" hidden="false" customHeight="true" outlineLevel="0" collapsed="false">
      <c r="A326" s="19" t="s">
        <v>59</v>
      </c>
      <c r="B326" s="19" t="s">
        <v>489</v>
      </c>
      <c r="C326" s="19" t="s">
        <v>330</v>
      </c>
      <c r="D326" s="19" t="s">
        <v>331</v>
      </c>
      <c r="E326" s="19"/>
      <c r="F326" s="19" t="n">
        <v>0</v>
      </c>
      <c r="G326" s="19"/>
      <c r="H326" s="19"/>
    </row>
    <row r="327" customFormat="false" ht="15" hidden="false" customHeight="true" outlineLevel="0" collapsed="false">
      <c r="A327" s="19" t="s">
        <v>59</v>
      </c>
      <c r="B327" s="19" t="s">
        <v>490</v>
      </c>
      <c r="C327" s="19" t="s">
        <v>344</v>
      </c>
      <c r="D327" s="19" t="s">
        <v>345</v>
      </c>
      <c r="E327" s="19"/>
      <c r="F327" s="19" t="n">
        <v>0</v>
      </c>
      <c r="G327" s="19"/>
      <c r="H327" s="19"/>
    </row>
    <row r="328" customFormat="false" ht="15" hidden="false" customHeight="true" outlineLevel="0" collapsed="false">
      <c r="A328" s="17" t="s">
        <v>59</v>
      </c>
      <c r="B328" s="17" t="s">
        <v>179</v>
      </c>
      <c r="C328" s="17" t="s">
        <v>344</v>
      </c>
      <c r="D328" s="17" t="s">
        <v>345</v>
      </c>
      <c r="E328" s="17"/>
      <c r="F328" s="17" t="n">
        <v>1</v>
      </c>
      <c r="G328" s="17" t="s">
        <v>1372</v>
      </c>
      <c r="H328" s="17" t="s">
        <v>1283</v>
      </c>
    </row>
    <row r="329" customFormat="false" ht="15" hidden="false" customHeight="true" outlineLevel="0" collapsed="false">
      <c r="A329" s="19" t="s">
        <v>59</v>
      </c>
      <c r="B329" s="19" t="s">
        <v>491</v>
      </c>
      <c r="C329" s="19" t="s">
        <v>344</v>
      </c>
      <c r="D329" s="19" t="s">
        <v>345</v>
      </c>
      <c r="E329" s="19"/>
      <c r="F329" s="19" t="n">
        <v>0</v>
      </c>
      <c r="G329" s="19"/>
      <c r="H329" s="19"/>
    </row>
    <row r="330" customFormat="false" ht="15" hidden="false" customHeight="true" outlineLevel="0" collapsed="false">
      <c r="A330" s="19" t="s">
        <v>59</v>
      </c>
      <c r="B330" s="19" t="s">
        <v>492</v>
      </c>
      <c r="C330" s="19" t="s">
        <v>344</v>
      </c>
      <c r="D330" s="19" t="s">
        <v>345</v>
      </c>
      <c r="E330" s="19"/>
      <c r="F330" s="19" t="n">
        <v>0</v>
      </c>
      <c r="G330" s="19"/>
      <c r="H330" s="19"/>
    </row>
    <row r="331" customFormat="false" ht="15" hidden="false" customHeight="true" outlineLevel="0" collapsed="false">
      <c r="A331" s="19" t="s">
        <v>59</v>
      </c>
      <c r="B331" s="19" t="s">
        <v>493</v>
      </c>
      <c r="C331" s="19" t="s">
        <v>344</v>
      </c>
      <c r="D331" s="19" t="s">
        <v>345</v>
      </c>
      <c r="E331" s="19"/>
      <c r="F331" s="19" t="n">
        <v>0</v>
      </c>
      <c r="G331" s="19"/>
      <c r="H331" s="19"/>
    </row>
    <row r="332" customFormat="false" ht="15" hidden="false" customHeight="true" outlineLevel="0" collapsed="false">
      <c r="A332" s="19" t="s">
        <v>59</v>
      </c>
      <c r="B332" s="19" t="s">
        <v>494</v>
      </c>
      <c r="C332" s="19" t="s">
        <v>344</v>
      </c>
      <c r="D332" s="19" t="s">
        <v>345</v>
      </c>
      <c r="E332" s="19"/>
      <c r="F332" s="19" t="n">
        <v>0</v>
      </c>
      <c r="G332" s="19"/>
      <c r="H332" s="19"/>
    </row>
    <row r="333" customFormat="false" ht="15" hidden="false" customHeight="true" outlineLevel="0" collapsed="false">
      <c r="A333" s="19" t="s">
        <v>59</v>
      </c>
      <c r="B333" s="19" t="s">
        <v>495</v>
      </c>
      <c r="C333" s="19" t="s">
        <v>344</v>
      </c>
      <c r="D333" s="19" t="s">
        <v>345</v>
      </c>
      <c r="E333" s="19"/>
      <c r="F333" s="19" t="n">
        <v>0</v>
      </c>
      <c r="G333" s="19"/>
      <c r="H333" s="19"/>
    </row>
    <row r="334" customFormat="false" ht="15" hidden="false" customHeight="true" outlineLevel="0" collapsed="false">
      <c r="A334" s="19" t="s">
        <v>59</v>
      </c>
      <c r="B334" s="19" t="s">
        <v>496</v>
      </c>
      <c r="C334" s="19" t="s">
        <v>344</v>
      </c>
      <c r="D334" s="19" t="s">
        <v>345</v>
      </c>
      <c r="E334" s="19"/>
      <c r="F334" s="19" t="n">
        <v>0</v>
      </c>
      <c r="G334" s="19"/>
      <c r="H334" s="19"/>
    </row>
    <row r="335" customFormat="false" ht="15" hidden="false" customHeight="true" outlineLevel="0" collapsed="false">
      <c r="A335" s="19" t="s">
        <v>59</v>
      </c>
      <c r="B335" s="19" t="s">
        <v>497</v>
      </c>
      <c r="C335" s="19" t="s">
        <v>344</v>
      </c>
      <c r="D335" s="19" t="s">
        <v>345</v>
      </c>
      <c r="E335" s="19"/>
      <c r="F335" s="19" t="n">
        <v>0</v>
      </c>
      <c r="G335" s="19"/>
      <c r="H335" s="19"/>
    </row>
    <row r="336" customFormat="false" ht="15" hidden="false" customHeight="true" outlineLevel="0" collapsed="false">
      <c r="A336" s="19" t="s">
        <v>59</v>
      </c>
      <c r="B336" s="19" t="s">
        <v>498</v>
      </c>
      <c r="C336" s="19" t="s">
        <v>344</v>
      </c>
      <c r="D336" s="19" t="s">
        <v>345</v>
      </c>
      <c r="E336" s="19"/>
      <c r="F336" s="19" t="n">
        <v>0</v>
      </c>
      <c r="G336" s="19"/>
      <c r="H336" s="19"/>
    </row>
    <row r="337" customFormat="false" ht="15" hidden="false" customHeight="true" outlineLevel="0" collapsed="false">
      <c r="A337" s="19" t="s">
        <v>59</v>
      </c>
      <c r="B337" s="19" t="s">
        <v>499</v>
      </c>
      <c r="C337" s="19" t="s">
        <v>344</v>
      </c>
      <c r="D337" s="19" t="s">
        <v>345</v>
      </c>
      <c r="E337" s="19"/>
      <c r="F337" s="19" t="n">
        <v>0</v>
      </c>
      <c r="G337" s="19"/>
      <c r="H337" s="19"/>
    </row>
    <row r="338" customFormat="false" ht="15" hidden="false" customHeight="true" outlineLevel="0" collapsed="false">
      <c r="A338" s="23" t="s">
        <v>59</v>
      </c>
      <c r="B338" s="23" t="s">
        <v>211</v>
      </c>
      <c r="C338" s="23" t="s">
        <v>1268</v>
      </c>
      <c r="D338" s="23" t="s">
        <v>1269</v>
      </c>
      <c r="E338" s="23" t="s">
        <v>1361</v>
      </c>
      <c r="F338" s="23" t="n">
        <v>0</v>
      </c>
      <c r="G338" s="23"/>
      <c r="H338" s="23" t="s">
        <v>1271</v>
      </c>
    </row>
    <row r="339" customFormat="false" ht="15" hidden="false" customHeight="true" outlineLevel="0" collapsed="false">
      <c r="A339" s="19" t="s">
        <v>59</v>
      </c>
      <c r="B339" s="19" t="s">
        <v>500</v>
      </c>
      <c r="C339" s="19" t="s">
        <v>344</v>
      </c>
      <c r="D339" s="19" t="s">
        <v>345</v>
      </c>
      <c r="E339" s="19"/>
      <c r="F339" s="19" t="n">
        <v>0</v>
      </c>
      <c r="G339" s="19"/>
      <c r="H339" s="19"/>
    </row>
    <row r="340" customFormat="false" ht="15" hidden="false" customHeight="true" outlineLevel="0" collapsed="false">
      <c r="A340" s="19" t="s">
        <v>59</v>
      </c>
      <c r="B340" s="19" t="s">
        <v>501</v>
      </c>
      <c r="C340" s="19" t="s">
        <v>344</v>
      </c>
      <c r="D340" s="19" t="s">
        <v>345</v>
      </c>
      <c r="E340" s="19"/>
      <c r="F340" s="19" t="n">
        <v>0</v>
      </c>
      <c r="G340" s="19"/>
      <c r="H340" s="19"/>
    </row>
    <row r="341" customFormat="false" ht="15" hidden="false" customHeight="true" outlineLevel="0" collapsed="false">
      <c r="A341" s="19" t="s">
        <v>59</v>
      </c>
      <c r="B341" s="19" t="s">
        <v>502</v>
      </c>
      <c r="C341" s="19" t="s">
        <v>330</v>
      </c>
      <c r="D341" s="19" t="s">
        <v>331</v>
      </c>
      <c r="E341" s="19"/>
      <c r="F341" s="19" t="n">
        <v>0</v>
      </c>
      <c r="G341" s="19"/>
      <c r="H341" s="19"/>
    </row>
    <row r="342" customFormat="false" ht="15" hidden="false" customHeight="true" outlineLevel="0" collapsed="false">
      <c r="A342" s="19" t="s">
        <v>59</v>
      </c>
      <c r="B342" s="19" t="s">
        <v>503</v>
      </c>
      <c r="C342" s="19" t="s">
        <v>344</v>
      </c>
      <c r="D342" s="19" t="s">
        <v>345</v>
      </c>
      <c r="E342" s="19"/>
      <c r="F342" s="19" t="n">
        <v>0</v>
      </c>
      <c r="G342" s="19"/>
      <c r="H342" s="19"/>
    </row>
    <row r="343" customFormat="false" ht="15" hidden="false" customHeight="true" outlineLevel="0" collapsed="false">
      <c r="A343" s="19" t="s">
        <v>59</v>
      </c>
      <c r="B343" s="19" t="s">
        <v>504</v>
      </c>
      <c r="C343" s="19" t="s">
        <v>344</v>
      </c>
      <c r="D343" s="19" t="s">
        <v>345</v>
      </c>
      <c r="E343" s="19"/>
      <c r="F343" s="19" t="n">
        <v>0</v>
      </c>
      <c r="G343" s="19"/>
      <c r="H343" s="19"/>
    </row>
    <row r="344" customFormat="false" ht="15" hidden="false" customHeight="true" outlineLevel="0" collapsed="false">
      <c r="A344" s="19" t="s">
        <v>59</v>
      </c>
      <c r="B344" s="19" t="s">
        <v>505</v>
      </c>
      <c r="C344" s="19" t="s">
        <v>344</v>
      </c>
      <c r="D344" s="19" t="s">
        <v>345</v>
      </c>
      <c r="E344" s="19"/>
      <c r="F344" s="19" t="n">
        <v>0</v>
      </c>
      <c r="G344" s="19"/>
      <c r="H344" s="19"/>
    </row>
    <row r="345" customFormat="false" ht="15" hidden="false" customHeight="true" outlineLevel="0" collapsed="false">
      <c r="A345" s="19" t="s">
        <v>59</v>
      </c>
      <c r="B345" s="19" t="s">
        <v>506</v>
      </c>
      <c r="C345" s="19" t="s">
        <v>344</v>
      </c>
      <c r="D345" s="19" t="s">
        <v>345</v>
      </c>
      <c r="E345" s="19"/>
      <c r="F345" s="19" t="n">
        <v>0</v>
      </c>
      <c r="G345" s="19"/>
      <c r="H345" s="19"/>
    </row>
    <row r="346" customFormat="false" ht="15" hidden="false" customHeight="true" outlineLevel="0" collapsed="false">
      <c r="A346" s="19" t="s">
        <v>59</v>
      </c>
      <c r="B346" s="19" t="s">
        <v>507</v>
      </c>
      <c r="C346" s="19" t="s">
        <v>344</v>
      </c>
      <c r="D346" s="19" t="s">
        <v>345</v>
      </c>
      <c r="E346" s="19"/>
      <c r="F346" s="19" t="n">
        <v>0</v>
      </c>
      <c r="G346" s="19"/>
      <c r="H346" s="19"/>
    </row>
    <row r="347" customFormat="false" ht="15" hidden="false" customHeight="true" outlineLevel="0" collapsed="false">
      <c r="A347" s="19" t="s">
        <v>59</v>
      </c>
      <c r="B347" s="19" t="s">
        <v>508</v>
      </c>
      <c r="C347" s="19" t="s">
        <v>344</v>
      </c>
      <c r="D347" s="19" t="s">
        <v>345</v>
      </c>
      <c r="E347" s="19"/>
      <c r="F347" s="19" t="n">
        <v>0</v>
      </c>
      <c r="G347" s="19"/>
      <c r="H347" s="19"/>
    </row>
    <row r="348" customFormat="false" ht="15" hidden="false" customHeight="true" outlineLevel="0" collapsed="false">
      <c r="A348" s="19" t="s">
        <v>59</v>
      </c>
      <c r="B348" s="19" t="s">
        <v>509</v>
      </c>
      <c r="C348" s="19" t="s">
        <v>344</v>
      </c>
      <c r="D348" s="19" t="s">
        <v>345</v>
      </c>
      <c r="E348" s="19"/>
      <c r="F348" s="19" t="n">
        <v>0</v>
      </c>
      <c r="G348" s="19"/>
      <c r="H348" s="19"/>
    </row>
    <row r="349" customFormat="false" ht="15" hidden="false" customHeight="true" outlineLevel="0" collapsed="false">
      <c r="A349" s="19" t="s">
        <v>59</v>
      </c>
      <c r="B349" s="19" t="s">
        <v>510</v>
      </c>
      <c r="C349" s="19" t="s">
        <v>344</v>
      </c>
      <c r="D349" s="19" t="s">
        <v>345</v>
      </c>
      <c r="E349" s="19"/>
      <c r="F349" s="19" t="n">
        <v>0</v>
      </c>
      <c r="G349" s="19"/>
      <c r="H349" s="19"/>
    </row>
    <row r="350" customFormat="false" ht="15" hidden="false" customHeight="true" outlineLevel="0" collapsed="false">
      <c r="A350" s="19" t="s">
        <v>59</v>
      </c>
      <c r="B350" s="19" t="s">
        <v>511</v>
      </c>
      <c r="C350" s="19" t="s">
        <v>344</v>
      </c>
      <c r="D350" s="19" t="s">
        <v>345</v>
      </c>
      <c r="E350" s="19"/>
      <c r="F350" s="19" t="n">
        <v>0</v>
      </c>
      <c r="G350" s="19"/>
      <c r="H350" s="19"/>
    </row>
    <row r="351" customFormat="false" ht="15" hidden="false" customHeight="true" outlineLevel="0" collapsed="false">
      <c r="A351" s="19" t="s">
        <v>59</v>
      </c>
      <c r="B351" s="19" t="s">
        <v>512</v>
      </c>
      <c r="C351" s="19" t="s">
        <v>344</v>
      </c>
      <c r="D351" s="19" t="s">
        <v>345</v>
      </c>
      <c r="E351" s="19"/>
      <c r="F351" s="19" t="n">
        <v>0</v>
      </c>
      <c r="G351" s="19"/>
      <c r="H351" s="19"/>
    </row>
    <row r="352" customFormat="false" ht="15" hidden="false" customHeight="true" outlineLevel="0" collapsed="false">
      <c r="A352" s="19" t="s">
        <v>59</v>
      </c>
      <c r="B352" s="19" t="s">
        <v>513</v>
      </c>
      <c r="C352" s="19" t="s">
        <v>344</v>
      </c>
      <c r="D352" s="19" t="s">
        <v>345</v>
      </c>
      <c r="E352" s="19"/>
      <c r="F352" s="19" t="n">
        <v>0</v>
      </c>
      <c r="G352" s="19"/>
      <c r="H352" s="19"/>
    </row>
    <row r="353" customFormat="false" ht="15" hidden="false" customHeight="true" outlineLevel="0" collapsed="false">
      <c r="A353" s="19" t="s">
        <v>59</v>
      </c>
      <c r="B353" s="19" t="s">
        <v>514</v>
      </c>
      <c r="C353" s="19" t="s">
        <v>344</v>
      </c>
      <c r="D353" s="19" t="s">
        <v>345</v>
      </c>
      <c r="E353" s="19"/>
      <c r="F353" s="19" t="n">
        <v>0</v>
      </c>
      <c r="G353" s="19"/>
      <c r="H353" s="19"/>
    </row>
    <row r="354" customFormat="false" ht="15" hidden="false" customHeight="true" outlineLevel="0" collapsed="false">
      <c r="A354" s="19" t="s">
        <v>59</v>
      </c>
      <c r="B354" s="19" t="s">
        <v>515</v>
      </c>
      <c r="C354" s="19" t="s">
        <v>344</v>
      </c>
      <c r="D354" s="19" t="s">
        <v>345</v>
      </c>
      <c r="E354" s="19"/>
      <c r="F354" s="19" t="n">
        <v>0</v>
      </c>
      <c r="G354" s="19"/>
      <c r="H354" s="19"/>
    </row>
    <row r="355" customFormat="false" ht="15" hidden="false" customHeight="true" outlineLevel="0" collapsed="false">
      <c r="A355" s="19" t="s">
        <v>59</v>
      </c>
      <c r="B355" s="19" t="s">
        <v>516</v>
      </c>
      <c r="C355" s="19" t="s">
        <v>344</v>
      </c>
      <c r="D355" s="19" t="s">
        <v>345</v>
      </c>
      <c r="E355" s="19"/>
      <c r="F355" s="19" t="n">
        <v>0</v>
      </c>
      <c r="G355" s="19"/>
      <c r="H355" s="19"/>
    </row>
    <row r="356" customFormat="false" ht="15" hidden="false" customHeight="true" outlineLevel="0" collapsed="false">
      <c r="A356" s="19" t="s">
        <v>59</v>
      </c>
      <c r="B356" s="19" t="s">
        <v>517</v>
      </c>
      <c r="C356" s="19" t="s">
        <v>344</v>
      </c>
      <c r="D356" s="19" t="s">
        <v>345</v>
      </c>
      <c r="E356" s="19"/>
      <c r="F356" s="19" t="n">
        <v>0</v>
      </c>
      <c r="G356" s="19"/>
      <c r="H356" s="19"/>
    </row>
    <row r="357" customFormat="false" ht="15" hidden="false" customHeight="true" outlineLevel="0" collapsed="false">
      <c r="A357" s="19" t="s">
        <v>59</v>
      </c>
      <c r="B357" s="19" t="s">
        <v>518</v>
      </c>
      <c r="C357" s="19" t="s">
        <v>344</v>
      </c>
      <c r="D357" s="19" t="s">
        <v>345</v>
      </c>
      <c r="E357" s="19"/>
      <c r="F357" s="19" t="n">
        <v>0</v>
      </c>
      <c r="G357" s="19"/>
      <c r="H357" s="19"/>
    </row>
    <row r="358" customFormat="false" ht="15" hidden="false" customHeight="true" outlineLevel="0" collapsed="false">
      <c r="A358" s="19" t="s">
        <v>59</v>
      </c>
      <c r="B358" s="19" t="s">
        <v>519</v>
      </c>
      <c r="C358" s="19" t="s">
        <v>330</v>
      </c>
      <c r="D358" s="19" t="s">
        <v>331</v>
      </c>
      <c r="E358" s="19"/>
      <c r="F358" s="19" t="n">
        <v>0</v>
      </c>
      <c r="G358" s="19"/>
      <c r="H358" s="19"/>
    </row>
    <row r="359" customFormat="false" ht="15" hidden="false" customHeight="true" outlineLevel="0" collapsed="false">
      <c r="A359" s="19" t="s">
        <v>59</v>
      </c>
      <c r="B359" s="19" t="s">
        <v>520</v>
      </c>
      <c r="C359" s="19" t="s">
        <v>330</v>
      </c>
      <c r="D359" s="19" t="s">
        <v>331</v>
      </c>
      <c r="E359" s="19"/>
      <c r="F359" s="19" t="n">
        <v>0</v>
      </c>
      <c r="G359" s="19"/>
      <c r="H359" s="19"/>
    </row>
    <row r="360" customFormat="false" ht="15" hidden="false" customHeight="true" outlineLevel="0" collapsed="false">
      <c r="A360" s="19" t="s">
        <v>59</v>
      </c>
      <c r="B360" s="19" t="s">
        <v>521</v>
      </c>
      <c r="C360" s="19" t="s">
        <v>344</v>
      </c>
      <c r="D360" s="19" t="s">
        <v>345</v>
      </c>
      <c r="E360" s="19"/>
      <c r="F360" s="19" t="n">
        <v>0</v>
      </c>
      <c r="G360" s="19"/>
      <c r="H360" s="19"/>
    </row>
    <row r="361" customFormat="false" ht="15" hidden="false" customHeight="true" outlineLevel="0" collapsed="false">
      <c r="A361" s="19" t="s">
        <v>59</v>
      </c>
      <c r="B361" s="19" t="s">
        <v>522</v>
      </c>
      <c r="C361" s="19" t="s">
        <v>344</v>
      </c>
      <c r="D361" s="19" t="s">
        <v>345</v>
      </c>
      <c r="E361" s="19"/>
      <c r="F361" s="19" t="n">
        <v>0</v>
      </c>
      <c r="G361" s="19"/>
      <c r="H361" s="19"/>
    </row>
    <row r="362" customFormat="false" ht="15" hidden="false" customHeight="true" outlineLevel="0" collapsed="false">
      <c r="A362" s="19" t="s">
        <v>59</v>
      </c>
      <c r="B362" s="19" t="s">
        <v>523</v>
      </c>
      <c r="C362" s="19" t="s">
        <v>344</v>
      </c>
      <c r="D362" s="19" t="s">
        <v>345</v>
      </c>
      <c r="E362" s="19"/>
      <c r="F362" s="19" t="n">
        <v>0</v>
      </c>
      <c r="G362" s="19"/>
      <c r="H362" s="19"/>
    </row>
  </sheetData>
  <autoFilter ref="A1:H3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3" min="3" style="1" width="22"/>
    <col collapsed="false" customWidth="true" hidden="false" outlineLevel="0" max="4" min="4" style="1" width="20"/>
    <col collapsed="false" customWidth="true" hidden="false" outlineLevel="0" max="6" min="5" style="1" width="22"/>
    <col collapsed="false" customWidth="true" hidden="false" outlineLevel="0" max="7" min="7" style="1" width="26"/>
  </cols>
  <sheetData>
    <row r="1" customFormat="false" ht="15" hidden="false" customHeight="true" outlineLevel="0" collapsed="false">
      <c r="A1" s="4" t="s">
        <v>527</v>
      </c>
      <c r="B1" s="4" t="s">
        <v>528</v>
      </c>
      <c r="C1" s="4" t="s">
        <v>529</v>
      </c>
      <c r="D1" s="4" t="s">
        <v>530</v>
      </c>
      <c r="E1" s="4" t="s">
        <v>317</v>
      </c>
      <c r="F1" s="4" t="s">
        <v>532</v>
      </c>
      <c r="G1" s="4" t="s">
        <v>1373</v>
      </c>
    </row>
    <row r="2" customFormat="false" ht="15" hidden="false" customHeight="true" outlineLevel="0" collapsed="false">
      <c r="A2" s="19" t="n">
        <v>475</v>
      </c>
      <c r="B2" s="19" t="s">
        <v>535</v>
      </c>
      <c r="C2" s="19" t="s">
        <v>1374</v>
      </c>
      <c r="D2" s="19" t="s">
        <v>1375</v>
      </c>
      <c r="E2" s="19" t="s">
        <v>325</v>
      </c>
      <c r="F2" s="19" t="s">
        <v>538</v>
      </c>
      <c r="G2" s="19" t="s">
        <v>1376</v>
      </c>
    </row>
    <row r="3" customFormat="false" ht="15" hidden="false" customHeight="true" outlineLevel="0" collapsed="false">
      <c r="A3" s="19" t="n">
        <v>769</v>
      </c>
      <c r="B3" s="19" t="s">
        <v>540</v>
      </c>
      <c r="C3" s="19" t="s">
        <v>660</v>
      </c>
      <c r="D3" s="19" t="s">
        <v>1377</v>
      </c>
      <c r="E3" s="19" t="s">
        <v>1378</v>
      </c>
      <c r="F3" s="19" t="s">
        <v>331</v>
      </c>
      <c r="G3" s="19" t="s">
        <v>1376</v>
      </c>
    </row>
    <row r="4" customFormat="false" ht="15" hidden="false" customHeight="true" outlineLevel="0" collapsed="false">
      <c r="A4" s="19" t="n">
        <v>779</v>
      </c>
      <c r="B4" s="19" t="s">
        <v>540</v>
      </c>
      <c r="C4" s="19" t="s">
        <v>660</v>
      </c>
      <c r="D4" s="19" t="s">
        <v>1379</v>
      </c>
      <c r="E4" s="19" t="s">
        <v>1378</v>
      </c>
      <c r="F4" s="19" t="s">
        <v>331</v>
      </c>
      <c r="G4" s="19" t="s">
        <v>1376</v>
      </c>
    </row>
    <row r="5" customFormat="false" ht="15" hidden="false" customHeight="true" outlineLevel="0" collapsed="false">
      <c r="A5" s="19" t="n">
        <v>1121</v>
      </c>
      <c r="B5" s="19" t="s">
        <v>540</v>
      </c>
      <c r="C5" s="19" t="s">
        <v>653</v>
      </c>
      <c r="D5" s="19" t="s">
        <v>1380</v>
      </c>
      <c r="E5" s="19" t="s">
        <v>1378</v>
      </c>
      <c r="F5" s="19" t="s">
        <v>331</v>
      </c>
      <c r="G5" s="19" t="s">
        <v>1376</v>
      </c>
    </row>
    <row r="6" customFormat="false" ht="15" hidden="false" customHeight="true" outlineLevel="0" collapsed="false">
      <c r="A6" s="19" t="n">
        <v>1134</v>
      </c>
      <c r="B6" s="19" t="s">
        <v>540</v>
      </c>
      <c r="C6" s="19" t="s">
        <v>653</v>
      </c>
      <c r="D6" s="19" t="s">
        <v>1381</v>
      </c>
      <c r="E6" s="19" t="s">
        <v>1378</v>
      </c>
      <c r="F6" s="19" t="s">
        <v>331</v>
      </c>
      <c r="G6" s="19" t="s">
        <v>1376</v>
      </c>
    </row>
    <row r="7" customFormat="false" ht="15" hidden="false" customHeight="true" outlineLevel="0" collapsed="false">
      <c r="A7" s="19" t="n">
        <v>1145</v>
      </c>
      <c r="B7" s="19" t="s">
        <v>540</v>
      </c>
      <c r="C7" s="19" t="s">
        <v>653</v>
      </c>
      <c r="D7" s="19" t="s">
        <v>1382</v>
      </c>
      <c r="E7" s="19" t="s">
        <v>1378</v>
      </c>
      <c r="F7" s="19" t="s">
        <v>331</v>
      </c>
      <c r="G7" s="19" t="s">
        <v>1376</v>
      </c>
    </row>
  </sheetData>
  <autoFilter ref="A1:G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60"/>
  </cols>
  <sheetData>
    <row r="1" customFormat="false" ht="15" hidden="false" customHeight="true" outlineLevel="0" collapsed="false">
      <c r="A1" s="11" t="s">
        <v>1383</v>
      </c>
      <c r="B1" s="15" t="s">
        <v>1384</v>
      </c>
    </row>
    <row r="2" customFormat="false" ht="15" hidden="false" customHeight="true" outlineLevel="0" collapsed="false">
      <c r="A2" s="15"/>
      <c r="B2" s="15"/>
    </row>
    <row r="3" customFormat="false" ht="15" hidden="false" customHeight="true" outlineLevel="0" collapsed="false">
      <c r="A3" s="11" t="s">
        <v>1385</v>
      </c>
      <c r="B3" s="15" t="n">
        <f aca="false">COUNTA('200V Devices'!C2:C393)</f>
        <v>392</v>
      </c>
    </row>
    <row r="4" customFormat="false" ht="15" hidden="false" customHeight="true" outlineLevel="0" collapsed="false">
      <c r="A4" s="15" t="s">
        <v>1386</v>
      </c>
      <c r="B4" s="15" t="n">
        <f aca="false">COUNTIF('200V Devices'!I2:I393,"Done (pilot)")</f>
        <v>39</v>
      </c>
    </row>
    <row r="5" customFormat="false" ht="15" hidden="false" customHeight="true" outlineLevel="0" collapsed="false">
      <c r="A5" s="15" t="s">
        <v>1387</v>
      </c>
      <c r="B5" s="15" t="n">
        <f aca="false">COUNTIF('200V Devices'!I2:I393,"Done")</f>
        <v>353</v>
      </c>
    </row>
    <row r="6" customFormat="false" ht="15" hidden="false" customHeight="true" outlineLevel="0" collapsed="false">
      <c r="A6" s="15" t="s">
        <v>1388</v>
      </c>
      <c r="B6" s="15" t="n">
        <f aca="false">COUNTIF('200V Devices'!I2:I393,"To do")</f>
        <v>0</v>
      </c>
    </row>
    <row r="7" customFormat="false" ht="15" hidden="false" customHeight="true" outlineLevel="0" collapsed="false">
      <c r="A7" s="15" t="s">
        <v>1389</v>
      </c>
      <c r="B7" s="15" t="n">
        <f aca="false">COUNTIF('200V Devices'!J2:J393,"Matched from 200V tab")</f>
        <v>14</v>
      </c>
    </row>
    <row r="8" customFormat="false" ht="15" hidden="false" customHeight="true" outlineLevel="0" collapsed="false">
      <c r="A8" s="15" t="s">
        <v>1390</v>
      </c>
      <c r="B8" s="15" t="n">
        <f aca="false">COUNTA('Not found'!C2:C7)</f>
        <v>6</v>
      </c>
    </row>
    <row r="9" customFormat="false" ht="15" hidden="false" customHeight="true" outlineLevel="0" collapsed="false">
      <c r="A9" s="11" t="s">
        <v>1391</v>
      </c>
      <c r="B9" s="15" t="n">
        <f aca="false">B3+B8</f>
        <v>398</v>
      </c>
    </row>
    <row r="10" customFormat="false" ht="15" hidden="false" customHeight="true" outlineLevel="0" collapsed="false">
      <c r="A10" s="15"/>
      <c r="B10" s="15"/>
    </row>
    <row r="11" customFormat="false" ht="15" hidden="false" customHeight="true" outlineLevel="0" collapsed="false">
      <c r="A11" s="11" t="s">
        <v>4</v>
      </c>
      <c r="B11" s="11" t="s">
        <v>1392</v>
      </c>
    </row>
    <row r="12" customFormat="false" ht="15" hidden="false" customHeight="true" outlineLevel="0" collapsed="false">
      <c r="A12" s="15" t="s">
        <v>13</v>
      </c>
      <c r="B12" s="15" t="n">
        <f aca="false">COUNTIF('200V Devices'!E2:E393,"switch-200V-LT2-1")</f>
        <v>16</v>
      </c>
    </row>
    <row r="13" customFormat="false" ht="15" hidden="false" customHeight="true" outlineLevel="0" collapsed="false">
      <c r="A13" s="15" t="s">
        <v>70</v>
      </c>
      <c r="B13" s="15" t="n">
        <f aca="false">COUNTIF('200V Devices'!E2:E393,"switch-200V-Tutorial-6.03")</f>
        <v>6</v>
      </c>
    </row>
    <row r="14" customFormat="false" ht="15" hidden="false" customHeight="true" outlineLevel="0" collapsed="false">
      <c r="A14" s="15" t="s">
        <v>95</v>
      </c>
      <c r="B14" s="15" t="n">
        <f aca="false">COUNTIF('200V Devices'!E2:E393,"switch-200V-stack-lv3")</f>
        <v>93</v>
      </c>
    </row>
    <row r="15" customFormat="false" ht="15" hidden="false" customHeight="true" outlineLevel="0" collapsed="false">
      <c r="A15" s="15" t="s">
        <v>135</v>
      </c>
      <c r="B15" s="15" t="n">
        <f aca="false">COUNTIF('200V Devices'!E2:E393,"switch-200V-stack-lv4")</f>
        <v>110</v>
      </c>
    </row>
    <row r="16" customFormat="false" ht="15" hidden="false" customHeight="true" outlineLevel="0" collapsed="false">
      <c r="A16" s="15" t="s">
        <v>59</v>
      </c>
      <c r="B16" s="15" t="n">
        <f aca="false">COUNTIF('200V Devices'!E2:E393,"switch-200V-stack-lv6")</f>
        <v>167</v>
      </c>
    </row>
    <row r="17" customFormat="false" ht="15" hidden="false" customHeight="true" outlineLevel="0" collapsed="false">
      <c r="A17" s="15"/>
      <c r="B17" s="15"/>
    </row>
    <row r="18" customFormat="false" ht="15" hidden="false" customHeight="true" outlineLevel="0" collapsed="false">
      <c r="A18" s="11" t="s">
        <v>1393</v>
      </c>
      <c r="B18" s="15"/>
    </row>
    <row r="19" customFormat="false" ht="15" hidden="false" customHeight="true" outlineLevel="0" collapsed="false">
      <c r="A19" s="25" t="s">
        <v>1394</v>
      </c>
      <c r="B19" s="15" t="s">
        <v>1395</v>
      </c>
    </row>
    <row r="20" customFormat="false" ht="15" hidden="false" customHeight="true" outlineLevel="0" collapsed="false">
      <c r="A20" s="26" t="s">
        <v>1396</v>
      </c>
      <c r="B20" s="15" t="s">
        <v>1397</v>
      </c>
    </row>
    <row r="21" customFormat="false" ht="15" hidden="false" customHeight="true" outlineLevel="0" collapsed="false"/>
    <row r="22" customFormat="false" ht="15" hidden="false" customHeight="true" outlineLevel="0" collapsed="false">
      <c r="A22" s="11" t="s">
        <v>1398</v>
      </c>
      <c r="B22" s="15" t="n">
        <f aca="false">COUNTA('Ports without device'!A2:A362)</f>
        <v>361</v>
      </c>
    </row>
    <row r="23" customFormat="false" ht="15" hidden="false" customHeight="true" outlineLevel="0" collapsed="false">
      <c r="A23" s="15" t="s">
        <v>1399</v>
      </c>
      <c r="B23" s="15" t="n">
        <f aca="false">COUNTIF('Ports without device'!F2:F362,"&gt;0")</f>
        <v>45</v>
      </c>
    </row>
    <row r="24" customFormat="false" ht="15" hidden="false" customHeight="true" outlineLevel="0" collapsed="false">
      <c r="A24" s="15" t="s">
        <v>1400</v>
      </c>
      <c r="B24" s="15" t="n">
        <f aca="false">COUNTIF('Ports without device'!F2:F362,0)</f>
        <v>316</v>
      </c>
    </row>
    <row r="25" customFormat="false" ht="15" hidden="false" customHeight="true" outlineLevel="0" collapsed="false">
      <c r="A25" s="15" t="s">
        <v>1401</v>
      </c>
      <c r="B25" s="15" t="n">
        <f aca="false">COUNTIF('Ports without device'!H2:H362,"Pilot staff outlet*")</f>
        <v>22</v>
      </c>
    </row>
    <row r="26" customFormat="false" ht="15" hidden="false" customHeight="true" outlineLevel="0" collapsed="false">
      <c r="A26" s="15" t="s">
        <v>1402</v>
      </c>
      <c r="B26" s="15" t="n">
        <f aca="false">COUNTIF('Ports without device'!C2:C362,"None (tagged only)")</f>
        <v>12</v>
      </c>
    </row>
    <row r="27" customFormat="false" ht="15" hidden="false" customHeight="true" outlineLevel="0" collapsed="false">
      <c r="A27" s="27" t="s">
        <v>1403</v>
      </c>
      <c r="B27" s="15" t="s">
        <v>1404</v>
      </c>
    </row>
    <row r="28" customFormat="false" ht="15" hidden="false" customHeight="true" outlineLevel="0" collapsed="false"/>
    <row r="29" customFormat="false" ht="15" hidden="false" customHeight="true" outlineLevel="0" collapsed="false">
      <c r="A29" s="11" t="s">
        <v>1405</v>
      </c>
      <c r="B29" s="15" t="n">
        <f aca="false">COUNT(Review!A5:A130)</f>
        <v>112</v>
      </c>
    </row>
    <row r="30" customFormat="false" ht="15" hidden="false" customHeight="true" outlineLevel="0" collapsed="false">
      <c r="A30" s="15" t="s">
        <v>1406</v>
      </c>
      <c r="B30" s="15" t="n">
        <f aca="false">COUNTA(Review!H5:H130)</f>
        <v>51</v>
      </c>
    </row>
    <row r="31" customFormat="false" ht="15" hidden="false" customHeight="true" outlineLevel="0" collapsed="false">
      <c r="A31" s="15" t="s">
        <v>1407</v>
      </c>
      <c r="B31" s="15" t="n">
        <f aca="false">B29-B30</f>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2026-10-06T12:46:44Z</dcterms:created>
  <dc:creator>openpyxl</dc:creator>
  <dc:description/>
  <dc:language>en-US</dc:language>
  <cp:lastModifiedBy/>
  <dcterms:modified xsi:type="dcterms:W3CDTF">2026-10-26T09:01:00Z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